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octo-my.sharepoint.us/personal/daniel_stafford_octo_us/Documents/Desktop/"/>
    </mc:Choice>
  </mc:AlternateContent>
  <xr:revisionPtr revIDLastSave="0" documentId="8_{01D04A5A-B1D8-4A55-86EB-6950473B7966}" xr6:coauthVersionLast="47" xr6:coauthVersionMax="47" xr10:uidLastSave="{00000000-0000-0000-0000-000000000000}"/>
  <bookViews>
    <workbookView xWindow="-96" yWindow="-96" windowWidth="23232" windowHeight="13992" xr2:uid="{00000000-000D-0000-FFFF-FFFF00000000}"/>
  </bookViews>
  <sheets>
    <sheet name="Data Element Mapping" sheetId="1" r:id="rId1"/>
    <sheet name="STRING Clarification" sheetId="2" r:id="rId2"/>
    <sheet name="Drop Down List" sheetId="3" state="hidden" r:id="rId3"/>
  </sheets>
  <externalReferences>
    <externalReference r:id="rId4"/>
  </externalReferences>
  <definedNames>
    <definedName name="_xlnm._FilterDatabase" localSheetId="0" hidden="1">'Data Element Mapping'!$A$4:$O$372</definedName>
    <definedName name="MandatoryOptional" localSheetId="1">'[1]Drop Down List'!$B$3:$B$11</definedName>
    <definedName name="MandatoryOptional">'Drop Down List'!$B$3:$B$11</definedName>
    <definedName name="XML_Sections">'Drop Down List'!$G$3:$G$7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k0oJwQr5ipDhA/EwYzLl7BngtGnTaSJgTf1C2kOPW7Q="/>
    </ext>
  </extLst>
</workbook>
</file>

<file path=xl/calcChain.xml><?xml version="1.0" encoding="utf-8"?>
<calcChain xmlns="http://schemas.openxmlformats.org/spreadsheetml/2006/main">
  <c r="M368" i="1" l="1"/>
  <c r="M369" i="1"/>
  <c r="M370" i="1"/>
  <c r="M371" i="1"/>
  <c r="L368" i="1"/>
  <c r="L369" i="1"/>
  <c r="L370" i="1"/>
  <c r="L371" i="1"/>
  <c r="O372" i="1"/>
  <c r="N372" i="1"/>
  <c r="M372" i="1"/>
  <c r="L367" i="1"/>
  <c r="O367" i="1" s="1"/>
  <c r="L366" i="1"/>
  <c r="O366" i="1" s="1"/>
  <c r="L365" i="1"/>
  <c r="O365" i="1" s="1"/>
  <c r="L364" i="1"/>
  <c r="O364" i="1" s="1"/>
  <c r="L363" i="1"/>
  <c r="N363" i="1" s="1"/>
  <c r="L362" i="1"/>
  <c r="N362" i="1" s="1"/>
  <c r="L361" i="1"/>
  <c r="N361" i="1" s="1"/>
  <c r="L360" i="1"/>
  <c r="M360" i="1" s="1"/>
  <c r="L359" i="1"/>
  <c r="M359" i="1" s="1"/>
  <c r="L358" i="1"/>
  <c r="O358" i="1" s="1"/>
  <c r="L357" i="1"/>
  <c r="N357" i="1" s="1"/>
  <c r="L356" i="1"/>
  <c r="N356" i="1" s="1"/>
  <c r="L355" i="1"/>
  <c r="N355" i="1" s="1"/>
  <c r="L354" i="1"/>
  <c r="M354" i="1" s="1"/>
  <c r="L353" i="1"/>
  <c r="N353" i="1" s="1"/>
  <c r="L352" i="1"/>
  <c r="N352" i="1" s="1"/>
  <c r="L351" i="1"/>
  <c r="N351" i="1" s="1"/>
  <c r="L350" i="1"/>
  <c r="M350" i="1" s="1"/>
  <c r="L349" i="1"/>
  <c r="O349" i="1" s="1"/>
  <c r="L348" i="1"/>
  <c r="N348" i="1" s="1"/>
  <c r="L347" i="1"/>
  <c r="N347" i="1" s="1"/>
  <c r="L346" i="1"/>
  <c r="N346" i="1" s="1"/>
  <c r="L345" i="1"/>
  <c r="O345" i="1" s="1"/>
  <c r="L344" i="1"/>
  <c r="N344" i="1" s="1"/>
  <c r="L343" i="1"/>
  <c r="M343" i="1" s="1"/>
  <c r="L342" i="1"/>
  <c r="N342" i="1" s="1"/>
  <c r="L341" i="1"/>
  <c r="N341" i="1" s="1"/>
  <c r="L340" i="1"/>
  <c r="O340" i="1" s="1"/>
  <c r="L339" i="1"/>
  <c r="O339" i="1" s="1"/>
  <c r="L338" i="1"/>
  <c r="O338" i="1" s="1"/>
  <c r="L337" i="1"/>
  <c r="N337" i="1" s="1"/>
  <c r="L336" i="1"/>
  <c r="N336" i="1" s="1"/>
  <c r="L335" i="1"/>
  <c r="N335" i="1" s="1"/>
  <c r="L334" i="1"/>
  <c r="M334" i="1" s="1"/>
  <c r="L333" i="1"/>
  <c r="O333" i="1" s="1"/>
  <c r="L332" i="1"/>
  <c r="N332" i="1" s="1"/>
  <c r="L331" i="1"/>
  <c r="N331" i="1" s="1"/>
  <c r="L330" i="1"/>
  <c r="N330" i="1" s="1"/>
  <c r="L329" i="1"/>
  <c r="O329" i="1" s="1"/>
  <c r="L328" i="1"/>
  <c r="N328" i="1" s="1"/>
  <c r="L327" i="1"/>
  <c r="N327" i="1" s="1"/>
  <c r="L326" i="1"/>
  <c r="N326" i="1" s="1"/>
  <c r="L325" i="1"/>
  <c r="M325" i="1" s="1"/>
  <c r="L324" i="1"/>
  <c r="O324" i="1" s="1"/>
  <c r="L323" i="1"/>
  <c r="O323" i="1" s="1"/>
  <c r="L322" i="1"/>
  <c r="N322" i="1" s="1"/>
  <c r="L321" i="1"/>
  <c r="N321" i="1" s="1"/>
  <c r="L320" i="1"/>
  <c r="O320" i="1" s="1"/>
  <c r="L319" i="1"/>
  <c r="O319" i="1" s="1"/>
  <c r="L318" i="1"/>
  <c r="O318" i="1" s="1"/>
  <c r="L317" i="1"/>
  <c r="N317" i="1" s="1"/>
  <c r="L316" i="1"/>
  <c r="N316" i="1" s="1"/>
  <c r="L315" i="1"/>
  <c r="O315" i="1" s="1"/>
  <c r="L314" i="1"/>
  <c r="N314" i="1" s="1"/>
  <c r="L313" i="1"/>
  <c r="M313" i="1" s="1"/>
  <c r="O312" i="1"/>
  <c r="N312" i="1"/>
  <c r="M312" i="1"/>
  <c r="O311" i="1"/>
  <c r="N311" i="1"/>
  <c r="M311" i="1"/>
  <c r="O310" i="1"/>
  <c r="N310" i="1"/>
  <c r="M310" i="1"/>
  <c r="O309" i="1"/>
  <c r="N309" i="1"/>
  <c r="M309" i="1"/>
  <c r="O308" i="1"/>
  <c r="N308" i="1"/>
  <c r="M308" i="1"/>
  <c r="O307" i="1"/>
  <c r="N307" i="1"/>
  <c r="M307" i="1"/>
  <c r="O306" i="1"/>
  <c r="N306" i="1"/>
  <c r="M306" i="1"/>
  <c r="O305" i="1"/>
  <c r="N305" i="1"/>
  <c r="M305" i="1"/>
  <c r="O304" i="1"/>
  <c r="N304" i="1"/>
  <c r="M304" i="1"/>
  <c r="O303" i="1"/>
  <c r="N303" i="1"/>
  <c r="M303" i="1"/>
  <c r="O302" i="1"/>
  <c r="N302" i="1"/>
  <c r="M302" i="1"/>
  <c r="O301" i="1"/>
  <c r="N301" i="1"/>
  <c r="M301" i="1"/>
  <c r="O300" i="1"/>
  <c r="N300" i="1"/>
  <c r="M300" i="1"/>
  <c r="O299" i="1"/>
  <c r="N299" i="1"/>
  <c r="M299" i="1"/>
  <c r="L298" i="1"/>
  <c r="O298" i="1" s="1"/>
  <c r="O297" i="1"/>
  <c r="N297" i="1"/>
  <c r="M297" i="1"/>
  <c r="O296" i="1"/>
  <c r="N296" i="1"/>
  <c r="M296" i="1"/>
  <c r="L295" i="1"/>
  <c r="O295" i="1" s="1"/>
  <c r="O294" i="1"/>
  <c r="N294" i="1"/>
  <c r="M294" i="1"/>
  <c r="L293" i="1"/>
  <c r="O293" i="1" s="1"/>
  <c r="O292" i="1"/>
  <c r="N292" i="1"/>
  <c r="M292" i="1"/>
  <c r="O291" i="1"/>
  <c r="N291" i="1"/>
  <c r="M291" i="1"/>
  <c r="O290" i="1"/>
  <c r="N290" i="1"/>
  <c r="M290" i="1"/>
  <c r="L289" i="1"/>
  <c r="N289" i="1" s="1"/>
  <c r="O288" i="1"/>
  <c r="N288" i="1"/>
  <c r="M288" i="1"/>
  <c r="L287" i="1"/>
  <c r="N287" i="1" s="1"/>
  <c r="L286" i="1"/>
  <c r="O286" i="1" s="1"/>
  <c r="L285" i="1"/>
  <c r="O285" i="1" s="1"/>
  <c r="L284" i="1"/>
  <c r="O284" i="1" s="1"/>
  <c r="L283" i="1"/>
  <c r="O283" i="1" s="1"/>
  <c r="L282" i="1"/>
  <c r="M282" i="1" s="1"/>
  <c r="L281" i="1"/>
  <c r="O281" i="1" s="1"/>
  <c r="L280" i="1"/>
  <c r="N280" i="1" s="1"/>
  <c r="L279" i="1"/>
  <c r="O279" i="1" s="1"/>
  <c r="L278" i="1"/>
  <c r="M278" i="1" s="1"/>
  <c r="L277" i="1"/>
  <c r="O277" i="1" s="1"/>
  <c r="L276" i="1"/>
  <c r="O276" i="1" s="1"/>
  <c r="L275" i="1"/>
  <c r="O275" i="1" s="1"/>
  <c r="L274" i="1"/>
  <c r="O274" i="1" s="1"/>
  <c r="L273" i="1"/>
  <c r="N273" i="1" s="1"/>
  <c r="L272" i="1"/>
  <c r="M272" i="1" s="1"/>
  <c r="L271" i="1"/>
  <c r="O271" i="1" s="1"/>
  <c r="L270" i="1"/>
  <c r="N270" i="1" s="1"/>
  <c r="L269" i="1"/>
  <c r="O269" i="1" s="1"/>
  <c r="L268" i="1"/>
  <c r="M268" i="1" s="1"/>
  <c r="L267" i="1"/>
  <c r="N267" i="1" s="1"/>
  <c r="L266" i="1"/>
  <c r="O266" i="1" s="1"/>
  <c r="L265" i="1"/>
  <c r="O265" i="1" s="1"/>
  <c r="L264" i="1"/>
  <c r="O264" i="1" s="1"/>
  <c r="L263" i="1"/>
  <c r="N263" i="1" s="1"/>
  <c r="O262" i="1"/>
  <c r="N262" i="1"/>
  <c r="M262" i="1"/>
  <c r="O261" i="1"/>
  <c r="N261" i="1"/>
  <c r="M261" i="1"/>
  <c r="O260" i="1"/>
  <c r="N260" i="1"/>
  <c r="M260" i="1"/>
  <c r="O259" i="1"/>
  <c r="N259" i="1"/>
  <c r="M259" i="1"/>
  <c r="O258" i="1"/>
  <c r="N258" i="1"/>
  <c r="M258" i="1"/>
  <c r="O257" i="1"/>
  <c r="N257" i="1"/>
  <c r="M257" i="1"/>
  <c r="O256" i="1"/>
  <c r="N256" i="1"/>
  <c r="M256" i="1"/>
  <c r="O255" i="1"/>
  <c r="N255" i="1"/>
  <c r="M255" i="1"/>
  <c r="O254" i="1"/>
  <c r="N254" i="1"/>
  <c r="M254" i="1"/>
  <c r="O253" i="1"/>
  <c r="N253" i="1"/>
  <c r="M253" i="1"/>
  <c r="O252" i="1"/>
  <c r="N252" i="1"/>
  <c r="M252" i="1"/>
  <c r="O251" i="1"/>
  <c r="N251" i="1"/>
  <c r="M251" i="1"/>
  <c r="O250" i="1"/>
  <c r="N250" i="1"/>
  <c r="M250" i="1"/>
  <c r="O249" i="1"/>
  <c r="N249" i="1"/>
  <c r="M249" i="1"/>
  <c r="O248" i="1"/>
  <c r="N248" i="1"/>
  <c r="M248" i="1"/>
  <c r="O247" i="1"/>
  <c r="N247" i="1"/>
  <c r="M247" i="1"/>
  <c r="O246" i="1"/>
  <c r="N246" i="1"/>
  <c r="M246" i="1"/>
  <c r="O245" i="1"/>
  <c r="N245" i="1"/>
  <c r="M245" i="1"/>
  <c r="O244" i="1"/>
  <c r="N244" i="1"/>
  <c r="M244" i="1"/>
  <c r="O243" i="1"/>
  <c r="N243" i="1"/>
  <c r="M243" i="1"/>
  <c r="O242" i="1"/>
  <c r="N242" i="1"/>
  <c r="M242" i="1"/>
  <c r="O241" i="1"/>
  <c r="N241" i="1"/>
  <c r="M241" i="1"/>
  <c r="O240" i="1"/>
  <c r="N240" i="1"/>
  <c r="M240" i="1"/>
  <c r="L239" i="1"/>
  <c r="N239" i="1" s="1"/>
  <c r="L238" i="1"/>
  <c r="N238" i="1" s="1"/>
  <c r="L237" i="1"/>
  <c r="M237" i="1" s="1"/>
  <c r="L236" i="1"/>
  <c r="N236" i="1" s="1"/>
  <c r="L235" i="1"/>
  <c r="N235" i="1" s="1"/>
  <c r="L234" i="1"/>
  <c r="M234" i="1" s="1"/>
  <c r="L233" i="1"/>
  <c r="N233" i="1" s="1"/>
  <c r="L232" i="1"/>
  <c r="M232" i="1" s="1"/>
  <c r="L231" i="1"/>
  <c r="N231" i="1" s="1"/>
  <c r="O230" i="1"/>
  <c r="N230" i="1"/>
  <c r="M230" i="1"/>
  <c r="O229" i="1"/>
  <c r="N229" i="1"/>
  <c r="M229" i="1"/>
  <c r="O228" i="1"/>
  <c r="N228" i="1"/>
  <c r="M228" i="1"/>
  <c r="O227" i="1"/>
  <c r="N227" i="1"/>
  <c r="M227" i="1"/>
  <c r="O226" i="1"/>
  <c r="N226" i="1"/>
  <c r="M226" i="1"/>
  <c r="O225" i="1"/>
  <c r="N225" i="1"/>
  <c r="M225" i="1"/>
  <c r="O224" i="1"/>
  <c r="N224" i="1"/>
  <c r="M224" i="1"/>
  <c r="O223" i="1"/>
  <c r="N223" i="1"/>
  <c r="M223" i="1"/>
  <c r="O222" i="1"/>
  <c r="N222" i="1"/>
  <c r="M222" i="1"/>
  <c r="O221" i="1"/>
  <c r="N221" i="1"/>
  <c r="M221" i="1"/>
  <c r="O220" i="1"/>
  <c r="N220" i="1"/>
  <c r="M220" i="1"/>
  <c r="O219" i="1"/>
  <c r="N219" i="1"/>
  <c r="M219" i="1"/>
  <c r="O218" i="1"/>
  <c r="N218" i="1"/>
  <c r="M218" i="1"/>
  <c r="O217" i="1"/>
  <c r="N217" i="1"/>
  <c r="M217" i="1"/>
  <c r="O216" i="1"/>
  <c r="N216" i="1"/>
  <c r="M216" i="1"/>
  <c r="O215" i="1"/>
  <c r="N215" i="1"/>
  <c r="M215" i="1"/>
  <c r="O214" i="1"/>
  <c r="N214" i="1"/>
  <c r="M214" i="1"/>
  <c r="L213" i="1"/>
  <c r="O213" i="1" s="1"/>
  <c r="L212" i="1"/>
  <c r="N212" i="1" s="1"/>
  <c r="L211" i="1"/>
  <c r="N211" i="1" s="1"/>
  <c r="L210" i="1"/>
  <c r="N210" i="1" s="1"/>
  <c r="L209" i="1"/>
  <c r="O209" i="1" s="1"/>
  <c r="L208" i="1"/>
  <c r="M208" i="1" s="1"/>
  <c r="L207" i="1"/>
  <c r="N207" i="1" s="1"/>
  <c r="L206" i="1"/>
  <c r="N206" i="1" s="1"/>
  <c r="L205" i="1"/>
  <c r="N205" i="1" s="1"/>
  <c r="L204" i="1"/>
  <c r="O204" i="1" s="1"/>
  <c r="L203" i="1"/>
  <c r="O203" i="1" s="1"/>
  <c r="L202" i="1"/>
  <c r="M202" i="1" s="1"/>
  <c r="L201" i="1"/>
  <c r="O201" i="1" s="1"/>
  <c r="L200" i="1"/>
  <c r="N200" i="1" s="1"/>
  <c r="L199" i="1"/>
  <c r="O199" i="1" s="1"/>
  <c r="L198" i="1"/>
  <c r="O198" i="1" s="1"/>
  <c r="L197" i="1"/>
  <c r="N197" i="1" s="1"/>
  <c r="L196" i="1"/>
  <c r="N196" i="1" s="1"/>
  <c r="O195" i="1"/>
  <c r="N195" i="1"/>
  <c r="L195" i="1"/>
  <c r="M195" i="1" s="1"/>
  <c r="L194" i="1"/>
  <c r="O194" i="1" s="1"/>
  <c r="L193" i="1"/>
  <c r="O193" i="1" s="1"/>
  <c r="L192" i="1"/>
  <c r="N192" i="1" s="1"/>
  <c r="L191" i="1"/>
  <c r="N191" i="1" s="1"/>
  <c r="L190" i="1"/>
  <c r="N190" i="1" s="1"/>
  <c r="L189" i="1"/>
  <c r="O189" i="1" s="1"/>
  <c r="L188" i="1"/>
  <c r="M188" i="1" s="1"/>
  <c r="L187" i="1"/>
  <c r="N187" i="1" s="1"/>
  <c r="L186" i="1"/>
  <c r="O186" i="1" s="1"/>
  <c r="L185" i="1"/>
  <c r="N185" i="1" s="1"/>
  <c r="L184" i="1"/>
  <c r="O184" i="1" s="1"/>
  <c r="L183" i="1"/>
  <c r="O183" i="1" s="1"/>
  <c r="L182" i="1"/>
  <c r="N182" i="1" s="1"/>
  <c r="L181" i="1"/>
  <c r="N181" i="1" s="1"/>
  <c r="L180" i="1"/>
  <c r="N180" i="1" s="1"/>
  <c r="L179" i="1"/>
  <c r="O179" i="1" s="1"/>
  <c r="L178" i="1"/>
  <c r="O178" i="1" s="1"/>
  <c r="L177" i="1"/>
  <c r="N177" i="1" s="1"/>
  <c r="L176" i="1"/>
  <c r="N176" i="1" s="1"/>
  <c r="L175" i="1"/>
  <c r="O175" i="1" s="1"/>
  <c r="L174" i="1"/>
  <c r="O174" i="1" s="1"/>
  <c r="L173" i="1"/>
  <c r="O173" i="1" s="1"/>
  <c r="L172" i="1"/>
  <c r="N172" i="1" s="1"/>
  <c r="L171" i="1"/>
  <c r="O171" i="1" s="1"/>
  <c r="L170" i="1"/>
  <c r="N170" i="1" s="1"/>
  <c r="L169" i="1"/>
  <c r="O169" i="1" s="1"/>
  <c r="L168" i="1"/>
  <c r="M168" i="1" s="1"/>
  <c r="L167" i="1"/>
  <c r="N167" i="1" s="1"/>
  <c r="L166" i="1"/>
  <c r="N166" i="1" s="1"/>
  <c r="L165" i="1"/>
  <c r="N165" i="1" s="1"/>
  <c r="L164" i="1"/>
  <c r="O164" i="1" s="1"/>
  <c r="L163" i="1"/>
  <c r="O163" i="1" s="1"/>
  <c r="L162" i="1"/>
  <c r="O162" i="1" s="1"/>
  <c r="L161" i="1"/>
  <c r="N161" i="1" s="1"/>
  <c r="L160" i="1"/>
  <c r="N160" i="1" s="1"/>
  <c r="L159" i="1"/>
  <c r="O159" i="1" s="1"/>
  <c r="L158" i="1"/>
  <c r="O158" i="1" s="1"/>
  <c r="L157" i="1"/>
  <c r="N157" i="1" s="1"/>
  <c r="L156" i="1"/>
  <c r="O156" i="1" s="1"/>
  <c r="L155" i="1"/>
  <c r="O155" i="1" s="1"/>
  <c r="L154" i="1"/>
  <c r="O154" i="1" s="1"/>
  <c r="L153" i="1"/>
  <c r="O153" i="1" s="1"/>
  <c r="L152" i="1"/>
  <c r="N152" i="1" s="1"/>
  <c r="L151" i="1"/>
  <c r="N151" i="1" s="1"/>
  <c r="L150" i="1"/>
  <c r="N150" i="1" s="1"/>
  <c r="L149" i="1"/>
  <c r="O149" i="1" s="1"/>
  <c r="L148" i="1"/>
  <c r="M148" i="1" s="1"/>
  <c r="L147" i="1"/>
  <c r="N147" i="1" s="1"/>
  <c r="L146" i="1"/>
  <c r="O146" i="1" s="1"/>
  <c r="L145" i="1"/>
  <c r="N145" i="1" s="1"/>
  <c r="L144" i="1"/>
  <c r="O144" i="1" s="1"/>
  <c r="L143" i="1"/>
  <c r="O143" i="1" s="1"/>
  <c r="L142" i="1"/>
  <c r="O142" i="1" s="1"/>
  <c r="L141" i="1"/>
  <c r="N141" i="1" s="1"/>
  <c r="L140" i="1"/>
  <c r="N140" i="1" s="1"/>
  <c r="L139" i="1"/>
  <c r="O139" i="1" s="1"/>
  <c r="L138" i="1"/>
  <c r="O138" i="1" s="1"/>
  <c r="L137" i="1"/>
  <c r="N137" i="1" s="1"/>
  <c r="L136" i="1"/>
  <c r="O136" i="1" s="1"/>
  <c r="L135" i="1"/>
  <c r="N135" i="1" s="1"/>
  <c r="L134" i="1"/>
  <c r="O134" i="1" s="1"/>
  <c r="L133" i="1"/>
  <c r="O133" i="1" s="1"/>
  <c r="L132" i="1"/>
  <c r="N132" i="1" s="1"/>
  <c r="L131" i="1"/>
  <c r="N131" i="1" s="1"/>
  <c r="L130" i="1"/>
  <c r="N130" i="1" s="1"/>
  <c r="L129" i="1"/>
  <c r="O129" i="1" s="1"/>
  <c r="L128" i="1"/>
  <c r="M128" i="1" s="1"/>
  <c r="L127" i="1"/>
  <c r="N127" i="1" s="1"/>
  <c r="L126" i="1"/>
  <c r="O126" i="1" s="1"/>
  <c r="L125" i="1"/>
  <c r="N125" i="1" s="1"/>
  <c r="L124" i="1"/>
  <c r="O124" i="1" s="1"/>
  <c r="L123" i="1"/>
  <c r="O123" i="1" s="1"/>
  <c r="L122" i="1"/>
  <c r="O122" i="1" s="1"/>
  <c r="L121" i="1"/>
  <c r="N121" i="1" s="1"/>
  <c r="L120" i="1"/>
  <c r="N120" i="1" s="1"/>
  <c r="L119" i="1"/>
  <c r="O119" i="1" s="1"/>
  <c r="L118" i="1"/>
  <c r="O118" i="1" s="1"/>
  <c r="L117" i="1"/>
  <c r="N117" i="1" s="1"/>
  <c r="L116" i="1"/>
  <c r="N116" i="1" s="1"/>
  <c r="L115" i="1"/>
  <c r="O115" i="1" s="1"/>
  <c r="L114" i="1"/>
  <c r="O114" i="1" s="1"/>
  <c r="L113" i="1"/>
  <c r="O113" i="1" s="1"/>
  <c r="L112" i="1"/>
  <c r="N112" i="1" s="1"/>
  <c r="L111" i="1"/>
  <c r="O111" i="1" s="1"/>
  <c r="L110" i="1"/>
  <c r="N110" i="1" s="1"/>
  <c r="L109" i="1"/>
  <c r="O109" i="1" s="1"/>
  <c r="L108" i="1"/>
  <c r="M108" i="1" s="1"/>
  <c r="L107" i="1"/>
  <c r="N107" i="1" s="1"/>
  <c r="L106" i="1"/>
  <c r="N106" i="1" s="1"/>
  <c r="L105" i="1"/>
  <c r="N105" i="1" s="1"/>
  <c r="L104" i="1"/>
  <c r="O104" i="1" s="1"/>
  <c r="L103" i="1"/>
  <c r="O103" i="1" s="1"/>
  <c r="L102" i="1"/>
  <c r="M102" i="1" s="1"/>
  <c r="L101" i="1"/>
  <c r="O101" i="1" s="1"/>
  <c r="L100" i="1"/>
  <c r="N100" i="1" s="1"/>
  <c r="L99" i="1"/>
  <c r="O99" i="1" s="1"/>
  <c r="L98" i="1"/>
  <c r="O98" i="1" s="1"/>
  <c r="L97" i="1"/>
  <c r="N97" i="1" s="1"/>
  <c r="L96" i="1"/>
  <c r="N96" i="1" s="1"/>
  <c r="L95" i="1"/>
  <c r="M95" i="1" s="1"/>
  <c r="L94" i="1"/>
  <c r="O94" i="1" s="1"/>
  <c r="L93" i="1"/>
  <c r="O93" i="1" s="1"/>
  <c r="L92" i="1"/>
  <c r="N92" i="1" s="1"/>
  <c r="L91" i="1"/>
  <c r="N91" i="1" s="1"/>
  <c r="L90" i="1"/>
  <c r="N90" i="1" s="1"/>
  <c r="L89" i="1"/>
  <c r="O89" i="1" s="1"/>
  <c r="L88" i="1"/>
  <c r="M88" i="1" s="1"/>
  <c r="L87" i="1"/>
  <c r="N87" i="1" s="1"/>
  <c r="L86" i="1"/>
  <c r="O86" i="1" s="1"/>
  <c r="L85" i="1"/>
  <c r="N85" i="1" s="1"/>
  <c r="L84" i="1"/>
  <c r="O84" i="1" s="1"/>
  <c r="L83" i="1"/>
  <c r="O83" i="1" s="1"/>
  <c r="L82" i="1"/>
  <c r="O82" i="1" s="1"/>
  <c r="L81" i="1"/>
  <c r="N81" i="1" s="1"/>
  <c r="L80" i="1"/>
  <c r="N80" i="1" s="1"/>
  <c r="L79" i="1"/>
  <c r="O79" i="1" s="1"/>
  <c r="L78" i="1"/>
  <c r="O78" i="1" s="1"/>
  <c r="L77" i="1"/>
  <c r="N77" i="1" s="1"/>
  <c r="L76" i="1"/>
  <c r="N76" i="1" s="1"/>
  <c r="L75" i="1"/>
  <c r="O75" i="1" s="1"/>
  <c r="L74" i="1"/>
  <c r="O74" i="1" s="1"/>
  <c r="L73" i="1"/>
  <c r="O73" i="1" s="1"/>
  <c r="L72" i="1"/>
  <c r="N72" i="1" s="1"/>
  <c r="L71" i="1"/>
  <c r="O71" i="1" s="1"/>
  <c r="L70" i="1"/>
  <c r="N70" i="1" s="1"/>
  <c r="L69" i="1"/>
  <c r="O69" i="1" s="1"/>
  <c r="L68" i="1"/>
  <c r="M68" i="1" s="1"/>
  <c r="L67" i="1"/>
  <c r="N67" i="1" s="1"/>
  <c r="L66" i="1"/>
  <c r="N66" i="1" s="1"/>
  <c r="L65" i="1"/>
  <c r="N65" i="1" s="1"/>
  <c r="L64" i="1"/>
  <c r="O64" i="1" s="1"/>
  <c r="L63" i="1"/>
  <c r="O63" i="1" s="1"/>
  <c r="L62" i="1"/>
  <c r="N62" i="1" s="1"/>
  <c r="L61" i="1"/>
  <c r="O61" i="1" s="1"/>
  <c r="L60" i="1"/>
  <c r="N60" i="1" s="1"/>
  <c r="L59" i="1"/>
  <c r="O59" i="1" s="1"/>
  <c r="L58" i="1"/>
  <c r="O58" i="1" s="1"/>
  <c r="L57" i="1"/>
  <c r="N57" i="1" s="1"/>
  <c r="L56" i="1"/>
  <c r="N56" i="1" s="1"/>
  <c r="L55" i="1"/>
  <c r="M55" i="1" s="1"/>
  <c r="L54" i="1"/>
  <c r="O54" i="1" s="1"/>
  <c r="O53" i="1"/>
  <c r="N53" i="1"/>
  <c r="M53" i="1"/>
  <c r="O52" i="1"/>
  <c r="N52" i="1"/>
  <c r="M52" i="1"/>
  <c r="O51" i="1"/>
  <c r="N51" i="1"/>
  <c r="M51" i="1"/>
  <c r="O50" i="1"/>
  <c r="N50" i="1"/>
  <c r="M50" i="1"/>
  <c r="O49" i="1"/>
  <c r="N49" i="1"/>
  <c r="M49" i="1"/>
  <c r="O48" i="1"/>
  <c r="N48" i="1"/>
  <c r="M48" i="1"/>
  <c r="O47" i="1"/>
  <c r="N47" i="1"/>
  <c r="M47" i="1"/>
  <c r="O46" i="1"/>
  <c r="N46" i="1"/>
  <c r="M46" i="1"/>
  <c r="O45" i="1"/>
  <c r="N45" i="1"/>
  <c r="M45" i="1"/>
  <c r="O44" i="1"/>
  <c r="N44" i="1"/>
  <c r="M44" i="1"/>
  <c r="L43" i="1"/>
  <c r="N43" i="1" s="1"/>
  <c r="O42" i="1"/>
  <c r="N42" i="1"/>
  <c r="M42" i="1"/>
  <c r="L41" i="1"/>
  <c r="N41" i="1" s="1"/>
  <c r="O40" i="1"/>
  <c r="N40" i="1"/>
  <c r="M40" i="1"/>
  <c r="O39" i="1"/>
  <c r="N39" i="1"/>
  <c r="M39" i="1"/>
  <c r="O38" i="1"/>
  <c r="N38" i="1"/>
  <c r="M38" i="1"/>
  <c r="L37" i="1"/>
  <c r="N37" i="1" s="1"/>
  <c r="O36" i="1"/>
  <c r="N36" i="1"/>
  <c r="M36" i="1"/>
  <c r="O35" i="1"/>
  <c r="N35" i="1"/>
  <c r="M35" i="1"/>
  <c r="O34" i="1"/>
  <c r="N34" i="1"/>
  <c r="M34" i="1"/>
  <c r="O33" i="1"/>
  <c r="N33" i="1"/>
  <c r="M33" i="1"/>
  <c r="O32" i="1"/>
  <c r="N32" i="1"/>
  <c r="M32" i="1"/>
  <c r="O31" i="1"/>
  <c r="N31" i="1"/>
  <c r="M31" i="1"/>
  <c r="O30" i="1"/>
  <c r="N30" i="1"/>
  <c r="M30" i="1"/>
  <c r="O29" i="1"/>
  <c r="N29" i="1"/>
  <c r="M29" i="1"/>
  <c r="L28" i="1"/>
  <c r="O28" i="1" s="1"/>
  <c r="O27" i="1"/>
  <c r="N27" i="1"/>
  <c r="M27" i="1"/>
  <c r="O26" i="1"/>
  <c r="N26" i="1"/>
  <c r="M26" i="1"/>
  <c r="O25" i="1"/>
  <c r="N25" i="1"/>
  <c r="M25" i="1"/>
  <c r="O24" i="1"/>
  <c r="N24" i="1"/>
  <c r="M24" i="1"/>
  <c r="O23" i="1"/>
  <c r="N23" i="1"/>
  <c r="M23" i="1"/>
  <c r="O22" i="1"/>
  <c r="N22" i="1"/>
  <c r="M22" i="1"/>
  <c r="O21" i="1"/>
  <c r="N21" i="1"/>
  <c r="M21" i="1"/>
  <c r="O20" i="1"/>
  <c r="N20" i="1"/>
  <c r="M20" i="1"/>
  <c r="O19" i="1"/>
  <c r="N19" i="1"/>
  <c r="M19" i="1"/>
  <c r="O18" i="1"/>
  <c r="N18" i="1"/>
  <c r="M18" i="1"/>
  <c r="O17" i="1"/>
  <c r="N17" i="1"/>
  <c r="M17" i="1"/>
  <c r="O16" i="1"/>
  <c r="N16" i="1"/>
  <c r="M16" i="1"/>
  <c r="O15" i="1"/>
  <c r="N15" i="1"/>
  <c r="M15" i="1"/>
  <c r="O14" i="1"/>
  <c r="N14" i="1"/>
  <c r="M14" i="1"/>
  <c r="O13" i="1"/>
  <c r="N13" i="1"/>
  <c r="M13" i="1"/>
  <c r="O12" i="1"/>
  <c r="N12" i="1"/>
  <c r="M12" i="1"/>
  <c r="O11" i="1"/>
  <c r="N11" i="1"/>
  <c r="M11" i="1"/>
  <c r="O10" i="1"/>
  <c r="N10" i="1"/>
  <c r="M10" i="1"/>
  <c r="O9" i="1"/>
  <c r="N9" i="1"/>
  <c r="M9" i="1"/>
  <c r="O8" i="1"/>
  <c r="N8" i="1"/>
  <c r="M8" i="1"/>
  <c r="O7" i="1"/>
  <c r="N7" i="1"/>
  <c r="M7" i="1"/>
  <c r="O6" i="1"/>
  <c r="N6" i="1"/>
  <c r="M6" i="1"/>
  <c r="L5" i="1"/>
  <c r="O5" i="1" s="1"/>
  <c r="O160" i="1" l="1"/>
  <c r="O272" i="1"/>
  <c r="N202" i="1"/>
  <c r="O68" i="1"/>
  <c r="O202" i="1"/>
  <c r="O207" i="1"/>
  <c r="O130" i="1"/>
  <c r="O170" i="1"/>
  <c r="N277" i="1"/>
  <c r="N334" i="1"/>
  <c r="O112" i="1"/>
  <c r="N115" i="1"/>
  <c r="O100" i="1"/>
  <c r="N340" i="1"/>
  <c r="N208" i="1"/>
  <c r="O267" i="1"/>
  <c r="N88" i="1"/>
  <c r="O88" i="1"/>
  <c r="N102" i="1"/>
  <c r="O348" i="1"/>
  <c r="O147" i="1"/>
  <c r="N162" i="1"/>
  <c r="O313" i="1"/>
  <c r="M356" i="1"/>
  <c r="N155" i="1"/>
  <c r="N55" i="1"/>
  <c r="N234" i="1"/>
  <c r="O280" i="1"/>
  <c r="O356" i="1"/>
  <c r="O150" i="1"/>
  <c r="O182" i="1"/>
  <c r="M358" i="1"/>
  <c r="N283" i="1"/>
  <c r="O90" i="1"/>
  <c r="O105" i="1"/>
  <c r="O167" i="1"/>
  <c r="O270" i="1"/>
  <c r="M318" i="1"/>
  <c r="M333" i="1"/>
  <c r="M235" i="1"/>
  <c r="O135" i="1"/>
  <c r="O60" i="1"/>
  <c r="O120" i="1"/>
  <c r="O152" i="1"/>
  <c r="N318" i="1"/>
  <c r="N333" i="1"/>
  <c r="N360" i="1"/>
  <c r="O344" i="1"/>
  <c r="O137" i="1"/>
  <c r="M285" i="1"/>
  <c r="O360" i="1"/>
  <c r="O197" i="1"/>
  <c r="O107" i="1"/>
  <c r="N272" i="1"/>
  <c r="N285" i="1"/>
  <c r="N108" i="1"/>
  <c r="O80" i="1"/>
  <c r="N142" i="1"/>
  <c r="N95" i="1"/>
  <c r="O350" i="1"/>
  <c r="O95" i="1"/>
  <c r="O127" i="1"/>
  <c r="M324" i="1"/>
  <c r="M82" i="1"/>
  <c r="O67" i="1"/>
  <c r="N324" i="1"/>
  <c r="O353" i="1"/>
  <c r="O108" i="1"/>
  <c r="O273" i="1"/>
  <c r="O336" i="1"/>
  <c r="O65" i="1"/>
  <c r="O190" i="1"/>
  <c r="N68" i="1"/>
  <c r="O177" i="1"/>
  <c r="O232" i="1"/>
  <c r="M340" i="1"/>
  <c r="O55" i="1"/>
  <c r="O102" i="1"/>
  <c r="M115" i="1"/>
  <c r="M162" i="1"/>
  <c r="O185" i="1"/>
  <c r="O208" i="1"/>
  <c r="M283" i="1"/>
  <c r="O334" i="1"/>
  <c r="N358" i="1"/>
  <c r="M175" i="1"/>
  <c r="M315" i="1"/>
  <c r="O335" i="1"/>
  <c r="N359" i="1"/>
  <c r="O57" i="1"/>
  <c r="N128" i="1"/>
  <c r="O140" i="1"/>
  <c r="N175" i="1"/>
  <c r="O187" i="1"/>
  <c r="O210" i="1"/>
  <c r="N315" i="1"/>
  <c r="O359" i="1"/>
  <c r="N350" i="1"/>
  <c r="O92" i="1"/>
  <c r="O70" i="1"/>
  <c r="N82" i="1"/>
  <c r="O117" i="1"/>
  <c r="N188" i="1"/>
  <c r="O200" i="1"/>
  <c r="O234" i="1"/>
  <c r="N264" i="1"/>
  <c r="O128" i="1"/>
  <c r="M142" i="1"/>
  <c r="O165" i="1"/>
  <c r="O188" i="1"/>
  <c r="O212" i="1"/>
  <c r="M277" i="1"/>
  <c r="O316" i="1"/>
  <c r="O72" i="1"/>
  <c r="M155" i="1"/>
  <c r="O235" i="1"/>
  <c r="O287" i="1"/>
  <c r="O328" i="1"/>
  <c r="N168" i="1"/>
  <c r="O180" i="1"/>
  <c r="N268" i="1"/>
  <c r="O278" i="1"/>
  <c r="O330" i="1"/>
  <c r="N354" i="1"/>
  <c r="O62" i="1"/>
  <c r="M75" i="1"/>
  <c r="M122" i="1"/>
  <c r="O145" i="1"/>
  <c r="O168" i="1"/>
  <c r="O192" i="1"/>
  <c r="O268" i="1"/>
  <c r="O341" i="1"/>
  <c r="O354" i="1"/>
  <c r="M62" i="1"/>
  <c r="O87" i="1"/>
  <c r="O110" i="1"/>
  <c r="N122" i="1"/>
  <c r="O157" i="1"/>
  <c r="O239" i="1"/>
  <c r="O289" i="1"/>
  <c r="M319" i="1"/>
  <c r="O85" i="1"/>
  <c r="O97" i="1"/>
  <c r="N75" i="1"/>
  <c r="M135" i="1"/>
  <c r="M182" i="1"/>
  <c r="O205" i="1"/>
  <c r="M280" i="1"/>
  <c r="N319" i="1"/>
  <c r="O362" i="1"/>
  <c r="O132" i="1"/>
  <c r="N278" i="1"/>
  <c r="O77" i="1"/>
  <c r="N148" i="1"/>
  <c r="O125" i="1"/>
  <c r="O148" i="1"/>
  <c r="O172" i="1"/>
  <c r="N313" i="1"/>
  <c r="N281" i="1"/>
  <c r="N74" i="1"/>
  <c r="N134" i="1"/>
  <c r="N174" i="1"/>
  <c r="N194" i="1"/>
  <c r="M293" i="1"/>
  <c r="M348" i="1"/>
  <c r="N64" i="1"/>
  <c r="N54" i="1"/>
  <c r="N94" i="1"/>
  <c r="N114" i="1"/>
  <c r="N154" i="1"/>
  <c r="M287" i="1"/>
  <c r="M330" i="1"/>
  <c r="N274" i="1"/>
  <c r="N293" i="1"/>
  <c r="M336" i="1"/>
  <c r="O342" i="1"/>
  <c r="M361" i="1"/>
  <c r="M275" i="1"/>
  <c r="N275" i="1"/>
  <c r="N325" i="1"/>
  <c r="M331" i="1"/>
  <c r="O337" i="1"/>
  <c r="N343" i="1"/>
  <c r="M349" i="1"/>
  <c r="N69" i="1"/>
  <c r="N109" i="1"/>
  <c r="N129" i="1"/>
  <c r="N169" i="1"/>
  <c r="N209" i="1"/>
  <c r="M314" i="1"/>
  <c r="O325" i="1"/>
  <c r="O331" i="1"/>
  <c r="O343" i="1"/>
  <c r="N349" i="1"/>
  <c r="N282" i="1"/>
  <c r="M338" i="1"/>
  <c r="M57" i="1"/>
  <c r="N63" i="1"/>
  <c r="M70" i="1"/>
  <c r="M77" i="1"/>
  <c r="N83" i="1"/>
  <c r="M90" i="1"/>
  <c r="M97" i="1"/>
  <c r="N103" i="1"/>
  <c r="M110" i="1"/>
  <c r="M117" i="1"/>
  <c r="N123" i="1"/>
  <c r="M130" i="1"/>
  <c r="M137" i="1"/>
  <c r="N143" i="1"/>
  <c r="M150" i="1"/>
  <c r="M157" i="1"/>
  <c r="N163" i="1"/>
  <c r="M170" i="1"/>
  <c r="M177" i="1"/>
  <c r="N183" i="1"/>
  <c r="M190" i="1"/>
  <c r="M197" i="1"/>
  <c r="N203" i="1"/>
  <c r="M210" i="1"/>
  <c r="N237" i="1"/>
  <c r="O263" i="1"/>
  <c r="M270" i="1"/>
  <c r="N276" i="1"/>
  <c r="O282" i="1"/>
  <c r="M289" i="1"/>
  <c r="N295" i="1"/>
  <c r="O314" i="1"/>
  <c r="N320" i="1"/>
  <c r="M326" i="1"/>
  <c r="O332" i="1"/>
  <c r="N338" i="1"/>
  <c r="M344" i="1"/>
  <c r="O355" i="1"/>
  <c r="O361" i="1"/>
  <c r="N89" i="1"/>
  <c r="N149" i="1"/>
  <c r="N189" i="1"/>
  <c r="O236" i="1"/>
  <c r="M263" i="1"/>
  <c r="N269" i="1"/>
  <c r="M355" i="1"/>
  <c r="M63" i="1"/>
  <c r="M83" i="1"/>
  <c r="M103" i="1"/>
  <c r="M123" i="1"/>
  <c r="M143" i="1"/>
  <c r="M163" i="1"/>
  <c r="M183" i="1"/>
  <c r="M203" i="1"/>
  <c r="M295" i="1"/>
  <c r="M320" i="1"/>
  <c r="O237" i="1"/>
  <c r="O326" i="1"/>
  <c r="N84" i="1"/>
  <c r="N144" i="1"/>
  <c r="N164" i="1"/>
  <c r="N184" i="1"/>
  <c r="N204" i="1"/>
  <c r="O238" i="1"/>
  <c r="O327" i="1"/>
  <c r="M118" i="1"/>
  <c r="M198" i="1"/>
  <c r="M265" i="1"/>
  <c r="M363" i="1"/>
  <c r="N104" i="1"/>
  <c r="M321" i="1"/>
  <c r="M339" i="1"/>
  <c r="M58" i="1"/>
  <c r="M78" i="1"/>
  <c r="M98" i="1"/>
  <c r="M138" i="1"/>
  <c r="M158" i="1"/>
  <c r="M178" i="1"/>
  <c r="O231" i="1"/>
  <c r="N271" i="1"/>
  <c r="O321" i="1"/>
  <c r="N339" i="1"/>
  <c r="M345" i="1"/>
  <c r="N58" i="1"/>
  <c r="M65" i="1"/>
  <c r="M72" i="1"/>
  <c r="N78" i="1"/>
  <c r="M85" i="1"/>
  <c r="M92" i="1"/>
  <c r="N98" i="1"/>
  <c r="M105" i="1"/>
  <c r="M112" i="1"/>
  <c r="N118" i="1"/>
  <c r="M125" i="1"/>
  <c r="M132" i="1"/>
  <c r="N138" i="1"/>
  <c r="M145" i="1"/>
  <c r="M152" i="1"/>
  <c r="N158" i="1"/>
  <c r="M165" i="1"/>
  <c r="M172" i="1"/>
  <c r="N178" i="1"/>
  <c r="M185" i="1"/>
  <c r="M192" i="1"/>
  <c r="N198" i="1"/>
  <c r="M205" i="1"/>
  <c r="M212" i="1"/>
  <c r="M239" i="1"/>
  <c r="N265" i="1"/>
  <c r="N284" i="1"/>
  <c r="M328" i="1"/>
  <c r="N345" i="1"/>
  <c r="M351" i="1"/>
  <c r="O357" i="1"/>
  <c r="N232" i="1"/>
  <c r="M316" i="1"/>
  <c r="O322" i="1"/>
  <c r="O351" i="1"/>
  <c r="N119" i="1"/>
  <c r="N179" i="1"/>
  <c r="N199" i="1"/>
  <c r="M323" i="1"/>
  <c r="M73" i="1"/>
  <c r="M93" i="1"/>
  <c r="M113" i="1"/>
  <c r="M133" i="1"/>
  <c r="M153" i="1"/>
  <c r="M173" i="1"/>
  <c r="M193" i="1"/>
  <c r="M213" i="1"/>
  <c r="O233" i="1"/>
  <c r="M298" i="1"/>
  <c r="O317" i="1"/>
  <c r="N323" i="1"/>
  <c r="M329" i="1"/>
  <c r="O346" i="1"/>
  <c r="O41" i="1"/>
  <c r="N79" i="1"/>
  <c r="N99" i="1"/>
  <c r="N139" i="1"/>
  <c r="N159" i="1"/>
  <c r="M346" i="1"/>
  <c r="M60" i="1"/>
  <c r="M67" i="1"/>
  <c r="N73" i="1"/>
  <c r="M80" i="1"/>
  <c r="M87" i="1"/>
  <c r="N93" i="1"/>
  <c r="M100" i="1"/>
  <c r="M107" i="1"/>
  <c r="N113" i="1"/>
  <c r="M120" i="1"/>
  <c r="M127" i="1"/>
  <c r="N133" i="1"/>
  <c r="M140" i="1"/>
  <c r="M147" i="1"/>
  <c r="N153" i="1"/>
  <c r="M160" i="1"/>
  <c r="M167" i="1"/>
  <c r="N173" i="1"/>
  <c r="M180" i="1"/>
  <c r="M187" i="1"/>
  <c r="N193" i="1"/>
  <c r="M200" i="1"/>
  <c r="M207" i="1"/>
  <c r="N213" i="1"/>
  <c r="M267" i="1"/>
  <c r="M273" i="1"/>
  <c r="N279" i="1"/>
  <c r="N298" i="1"/>
  <c r="N329" i="1"/>
  <c r="M335" i="1"/>
  <c r="M353" i="1"/>
  <c r="N124" i="1"/>
  <c r="N59" i="1"/>
  <c r="N266" i="1"/>
  <c r="O352" i="1"/>
  <c r="N286" i="1"/>
  <c r="M341" i="1"/>
  <c r="O347" i="1"/>
  <c r="O363" i="1"/>
  <c r="M41" i="1"/>
  <c r="M233" i="1"/>
  <c r="M238" i="1"/>
  <c r="M364" i="1"/>
  <c r="M28" i="1"/>
  <c r="N28" i="1"/>
  <c r="M54" i="1"/>
  <c r="M59" i="1"/>
  <c r="M64" i="1"/>
  <c r="M69" i="1"/>
  <c r="M74" i="1"/>
  <c r="M79" i="1"/>
  <c r="M84" i="1"/>
  <c r="M89" i="1"/>
  <c r="M94" i="1"/>
  <c r="M99" i="1"/>
  <c r="M104" i="1"/>
  <c r="M109" i="1"/>
  <c r="M114" i="1"/>
  <c r="M119" i="1"/>
  <c r="M124" i="1"/>
  <c r="M129" i="1"/>
  <c r="M134" i="1"/>
  <c r="M139" i="1"/>
  <c r="M144" i="1"/>
  <c r="M149" i="1"/>
  <c r="M154" i="1"/>
  <c r="M159" i="1"/>
  <c r="M164" i="1"/>
  <c r="M169" i="1"/>
  <c r="M174" i="1"/>
  <c r="M179" i="1"/>
  <c r="M184" i="1"/>
  <c r="M189" i="1"/>
  <c r="M194" i="1"/>
  <c r="M199" i="1"/>
  <c r="M204" i="1"/>
  <c r="M209" i="1"/>
  <c r="M264" i="1"/>
  <c r="M269" i="1"/>
  <c r="M274" i="1"/>
  <c r="M279" i="1"/>
  <c r="M284" i="1"/>
  <c r="N364" i="1"/>
  <c r="M365" i="1"/>
  <c r="N365" i="1"/>
  <c r="M366" i="1"/>
  <c r="M43" i="1"/>
  <c r="M5" i="1"/>
  <c r="O37" i="1"/>
  <c r="O43" i="1"/>
  <c r="M56" i="1"/>
  <c r="M61" i="1"/>
  <c r="M66" i="1"/>
  <c r="M71" i="1"/>
  <c r="M76" i="1"/>
  <c r="M81" i="1"/>
  <c r="M86" i="1"/>
  <c r="M91" i="1"/>
  <c r="M96" i="1"/>
  <c r="M101" i="1"/>
  <c r="M106" i="1"/>
  <c r="M111" i="1"/>
  <c r="M116" i="1"/>
  <c r="M121" i="1"/>
  <c r="M126" i="1"/>
  <c r="M131" i="1"/>
  <c r="M136" i="1"/>
  <c r="M141" i="1"/>
  <c r="M146" i="1"/>
  <c r="M151" i="1"/>
  <c r="M156" i="1"/>
  <c r="M161" i="1"/>
  <c r="M166" i="1"/>
  <c r="M171" i="1"/>
  <c r="M176" i="1"/>
  <c r="M181" i="1"/>
  <c r="M186" i="1"/>
  <c r="M191" i="1"/>
  <c r="M196" i="1"/>
  <c r="M201" i="1"/>
  <c r="M206" i="1"/>
  <c r="M211" i="1"/>
  <c r="M266" i="1"/>
  <c r="M271" i="1"/>
  <c r="M276" i="1"/>
  <c r="M281" i="1"/>
  <c r="M286" i="1"/>
  <c r="N366" i="1"/>
  <c r="N5" i="1"/>
  <c r="N71" i="1"/>
  <c r="N86" i="1"/>
  <c r="N101" i="1"/>
  <c r="N111" i="1"/>
  <c r="N126" i="1"/>
  <c r="N136" i="1"/>
  <c r="N146" i="1"/>
  <c r="N156" i="1"/>
  <c r="N171" i="1"/>
  <c r="N186" i="1"/>
  <c r="N201" i="1"/>
  <c r="O56" i="1"/>
  <c r="O76" i="1"/>
  <c r="O91" i="1"/>
  <c r="O96" i="1"/>
  <c r="O106" i="1"/>
  <c r="O116" i="1"/>
  <c r="O121" i="1"/>
  <c r="O131" i="1"/>
  <c r="O141" i="1"/>
  <c r="O151" i="1"/>
  <c r="O161" i="1"/>
  <c r="O166" i="1"/>
  <c r="O176" i="1"/>
  <c r="O181" i="1"/>
  <c r="O191" i="1"/>
  <c r="O196" i="1"/>
  <c r="O206" i="1"/>
  <c r="O211" i="1"/>
  <c r="N61" i="1"/>
  <c r="O66" i="1"/>
  <c r="O81" i="1"/>
  <c r="M231" i="1"/>
  <c r="M236" i="1"/>
  <c r="M317" i="1"/>
  <c r="M322" i="1"/>
  <c r="M327" i="1"/>
  <c r="M332" i="1"/>
  <c r="M337" i="1"/>
  <c r="M342" i="1"/>
  <c r="M347" i="1"/>
  <c r="M352" i="1"/>
  <c r="M357" i="1"/>
  <c r="M362" i="1"/>
  <c r="M367" i="1"/>
  <c r="M37" i="1"/>
  <c r="N367" i="1"/>
</calcChain>
</file>

<file path=xl/sharedStrings.xml><?xml version="1.0" encoding="utf-8"?>
<sst xmlns="http://schemas.openxmlformats.org/spreadsheetml/2006/main" count="3136" uniqueCount="943">
  <si>
    <t>SAM DATA ELEMENT LIST</t>
  </si>
  <si>
    <t>Data Element</t>
  </si>
  <si>
    <t>Extract Specific Data</t>
  </si>
  <si>
    <t>Data Element Details</t>
  </si>
  <si>
    <t>Sensitivity</t>
  </si>
  <si>
    <t>SAM Data Element List</t>
  </si>
  <si>
    <t>Column Order</t>
  </si>
  <si>
    <t>Datatype</t>
  </si>
  <si>
    <t>Data Format</t>
  </si>
  <si>
    <t>Max Length</t>
  </si>
  <si>
    <t>Definition</t>
  </si>
  <si>
    <t>Enumeration</t>
  </si>
  <si>
    <t>Mandatory</t>
  </si>
  <si>
    <t>Substitution for Mandatory</t>
  </si>
  <si>
    <t>Sample Values</t>
  </si>
  <si>
    <t>Sensitivity Level</t>
  </si>
  <si>
    <t>Public</t>
  </si>
  <si>
    <t>FOUO (CUI)</t>
  </si>
  <si>
    <t>Sensitive (CUI)</t>
  </si>
  <si>
    <t>UNIQUE ENTITY ID</t>
  </si>
  <si>
    <t>STRING</t>
  </si>
  <si>
    <t>ALPHANUMERIC</t>
  </si>
  <si>
    <t>The UNIQUE ENTITY ID for the entity.
It is 12-character alpha-numeric. Example: F847A1795DE4</t>
  </si>
  <si>
    <t>If Available (All Awards/Federal Assistance)</t>
  </si>
  <si>
    <t>F847A1795DE4</t>
  </si>
  <si>
    <t>BLANK (DEPRECATED)</t>
  </si>
  <si>
    <t>Blank Spaces, formerly occupied by the prior Entity identifier</t>
  </si>
  <si>
    <t xml:space="preserve">         </t>
  </si>
  <si>
    <t>ENTITY EFT INDICATOR</t>
  </si>
  <si>
    <t>See SAM Functional Data Dictionary</t>
  </si>
  <si>
    <t>Optional</t>
  </si>
  <si>
    <t>Mandatory to enter EFT INDICATOR if the Entity has multiple bank accounts.</t>
  </si>
  <si>
    <t>CAGE CODE</t>
  </si>
  <si>
    <t>Mandatory (All Awards/Federal Assistance)</t>
  </si>
  <si>
    <t>1E5G9</t>
  </si>
  <si>
    <t>DODAAC</t>
  </si>
  <si>
    <t>Optional (IGT Only)</t>
  </si>
  <si>
    <t>Mandatory if DoD entity</t>
  </si>
  <si>
    <t>DODF2K3AJ</t>
  </si>
  <si>
    <t>SAM EXTRACT CODE</t>
  </si>
  <si>
    <t>Single character code that defines the status of the record being sent in the extract. The monthly file contains the complete record whether active or expired. For the daily files, the SAM Extract Code further specifies which data elements are sent for the record.</t>
  </si>
  <si>
    <t>Monthly File:
A - Active - Send the Complete Record.
E - Expired - Send the Complete Record.
Daily File:
1 - Deleted/Deactivated Record - Send UEI(SAM), EFT INDICATOR, CAGE Code, DODAAC, SAM Extract Code, Purpose of Registration
2 - New Active Record - Send the Complete Record.
3 - Updated Active Record - Send the Complete Record.
4 - Expired Record - Send UEI(SAM), EFT INDICATOR, CAGE Code, DODAAC, SAM Extract Code, Purpose of Registration</t>
  </si>
  <si>
    <t>A</t>
  </si>
  <si>
    <t>PURPOSE OF REGISTRATION</t>
  </si>
  <si>
    <t>Z1 - Federal Assistance Awards
Z2 - All Awards
Z3 - IGT-Only
Z4 - Federal Assistance Awards &amp; IGT
Z5 - All Awards &amp; IGT</t>
  </si>
  <si>
    <t>Z2</t>
  </si>
  <si>
    <t>INITIAL REGISTRATION DATE</t>
  </si>
  <si>
    <t>YYYYMMDD</t>
  </si>
  <si>
    <t>The date the initial entity registration was activated either in SAM or its predecessor, CCR. This date does not change.</t>
  </si>
  <si>
    <t>20020409</t>
  </si>
  <si>
    <t>REGISTRATION EXPIRATION DATE</t>
  </si>
  <si>
    <t xml:space="preserve">The date this current registration will expire or has already expired. This date is 365 days after the user submitted the registration. </t>
  </si>
  <si>
    <t>20131021</t>
  </si>
  <si>
    <t>LAST UPDATE DATE</t>
  </si>
  <si>
    <t>The date this registration was last updated.  This can change while the Activation Date remains the same for many reasons, such as POC changes, reference data changes, or SAM Technical Team database changes.</t>
  </si>
  <si>
    <t>ACTIVATION DATE</t>
  </si>
  <si>
    <t>The date this registration record was made active.  This can differ from the date that the registration was submitted due to the time it takes for TIN Validation and CAGE Code Assignment/Validation.</t>
  </si>
  <si>
    <t>LEGAL BUSINESS NAME</t>
  </si>
  <si>
    <t>PIEDMONT VAN LANES INC</t>
  </si>
  <si>
    <t>DBA NAME</t>
  </si>
  <si>
    <t>U.S. BANK GOVERNMENT SERVICES</t>
  </si>
  <si>
    <t>ENTITY DIVISION NAME</t>
  </si>
  <si>
    <t>Optional (All Awards/Federal Assistance)</t>
  </si>
  <si>
    <t>STOKO SKIN CARE</t>
  </si>
  <si>
    <t>ENTITY DIVISION NUMBER</t>
  </si>
  <si>
    <t>8003340242</t>
  </si>
  <si>
    <t>PHYSICAL ADDRESS LINE 1</t>
  </si>
  <si>
    <t>This is part of the entity's Physical Address.  See SAM Functional Data Dictionary for more information.</t>
  </si>
  <si>
    <t>801 W YOUNG AVE</t>
  </si>
  <si>
    <t>PHYSICAL ADDRESS LINE 2</t>
  </si>
  <si>
    <t>214 TRYON ST, 27TH FLR</t>
  </si>
  <si>
    <t>PHYSICAL ADDRESS CITY</t>
  </si>
  <si>
    <t>MINNEAPOLIS</t>
  </si>
  <si>
    <t>PHYSICAL ADDRESS PROVINCE OR STATE</t>
  </si>
  <si>
    <t>Mandatory if Country is USA or CAN</t>
  </si>
  <si>
    <t>MN</t>
  </si>
  <si>
    <t>PHYSICAL ADDRESS ZIP/POSTAL CODE</t>
  </si>
  <si>
    <t>Mandatory if Country is USA</t>
  </si>
  <si>
    <t>PHYSICAL ADDRESS ZIP CODE +4</t>
  </si>
  <si>
    <t>Numeric</t>
  </si>
  <si>
    <t>Populated, when available, if Country is USA</t>
  </si>
  <si>
    <t>4307</t>
  </si>
  <si>
    <t>PHYSICAL ADDRESS COUNTRY CODE</t>
  </si>
  <si>
    <t>USA</t>
  </si>
  <si>
    <t>PHYSICAL ADDRESS CONGRESSIONAL DISTRICT</t>
  </si>
  <si>
    <t>D&amp;B OPEN DATA FLAG</t>
  </si>
  <si>
    <t>Y or N</t>
  </si>
  <si>
    <t>This flag indicates whether the Business Name and Physical Address sourced from D&amp;B.</t>
  </si>
  <si>
    <t>N</t>
  </si>
  <si>
    <t>ENTITY START DATE</t>
  </si>
  <si>
    <t>19800301</t>
  </si>
  <si>
    <t>FISCAL YEAR END CLOSE DATE</t>
  </si>
  <si>
    <t xml:space="preserve">MMDD </t>
  </si>
  <si>
    <t>1231</t>
  </si>
  <si>
    <t>COMPANY SECURITY LEVEL</t>
  </si>
  <si>
    <t>90 -  Government Non-Classified
92 -  Government Confidential
93 -  Government Secret
94 -  Government Top Secret</t>
  </si>
  <si>
    <t>94</t>
  </si>
  <si>
    <t>HIGHEST EMPLOYEE SECURITY LEVEL</t>
  </si>
  <si>
    <t>ENTITY URL</t>
  </si>
  <si>
    <t>http://www.usbank.com</t>
  </si>
  <si>
    <t>ENTITY STRUCTURE</t>
  </si>
  <si>
    <t>2J  - Sole Proprietorship 
2K  - Partnership or Limited Liability Partnership
2L  - Corporate Entity (Not Tax Exempt) 
8H  - Corporate Entity (Tax Exempt) 
2A  - U.S. Government Entity 
CY  - Country - Foreign Government 
X6  - International Organization 
ZZ - Other</t>
  </si>
  <si>
    <t>2L</t>
  </si>
  <si>
    <t>STATE OF INCORPORATION</t>
  </si>
  <si>
    <t>Mandatory if "Country of Incorporation" is USA</t>
  </si>
  <si>
    <t>COUNTRY OF INCORPORATION</t>
  </si>
  <si>
    <t>BUSINESS TYPE COUNTER</t>
  </si>
  <si>
    <t>Four digit identifier that provides the number of business types to be provided in the business type String.</t>
  </si>
  <si>
    <t>0008</t>
  </si>
  <si>
    <t>BUS TYPE STRING</t>
  </si>
  <si>
    <t>~ Separated</t>
  </si>
  <si>
    <t>Tilde (~) delimited string that includes all of the entity's business type information.  For more information on the business types, See the STRING Clarification TAB</t>
  </si>
  <si>
    <t>See STRING Clarification Tab</t>
  </si>
  <si>
    <t>If Counter is greater than "0000" string is mandatory</t>
  </si>
  <si>
    <t>23~27~2X~8E~8W~A2~FR~HQ~LJ~VW</t>
  </si>
  <si>
    <t>AGENCY BUSINESS PURPOSE</t>
  </si>
  <si>
    <t>This data element identifies what business purpose that the IGT registration (Purpose of Registration Z3, Z4, Z5) has registered for.  The potential values represent Buyer, Seller, Buyer &amp; Seller.</t>
  </si>
  <si>
    <t>1 - Seller
2 - Buyer
3 - Buyer and Seller</t>
  </si>
  <si>
    <t>Mandatory (IGT Only)</t>
  </si>
  <si>
    <t>PRIMARY NAICS</t>
  </si>
  <si>
    <t>Mandatory (All Awards)</t>
  </si>
  <si>
    <t>NAICS CODE COUNTER</t>
  </si>
  <si>
    <t>Four digit identifier that provides the number of NAICS Codes to be provided in the NAICS Code String.</t>
  </si>
  <si>
    <t>0005</t>
  </si>
  <si>
    <t>NAICS CODE STRING</t>
  </si>
  <si>
    <t>Tilde (~) delimited string that includes all of the entity's NAICS information.  For more information on the NAICS Code String, See the STRING Clarification TAB</t>
  </si>
  <si>
    <t>333611Y~333612N~333613Y~334513Y~334519Y~541330Y~541340YN~541490Y~541511Y~541519Y~541690Y~541712Y~811219Y~811310Y</t>
  </si>
  <si>
    <t>PSC CODE COUNTER</t>
  </si>
  <si>
    <t>Four digit identifier that provides the number of PSC Codes to be provided in the PSC Code String.</t>
  </si>
  <si>
    <t>0004</t>
  </si>
  <si>
    <t>PSC CODE STRING</t>
  </si>
  <si>
    <t>Tilde (~) delimited string that includes all of the entity's PSC information.  For more information on the PSC Code String, See the STRING Clarification TAB</t>
  </si>
  <si>
    <t>Optional (All Awards)</t>
  </si>
  <si>
    <t>Y159~Y161~Y162~Y163~Y179~Y222~Z200~Z300</t>
  </si>
  <si>
    <t>CREDIT CARD USAGE</t>
  </si>
  <si>
    <t>Y</t>
  </si>
  <si>
    <t>CORRESPONDENCE FLAG</t>
  </si>
  <si>
    <t>M, F, or E</t>
  </si>
  <si>
    <t>M - US Mail
F - FAX
E - Email</t>
  </si>
  <si>
    <t>M</t>
  </si>
  <si>
    <t>MAILING ADDRESS LINE 1</t>
  </si>
  <si>
    <t>4080 MALLARD DR</t>
  </si>
  <si>
    <t>MAILING ADDRESS LINE 2</t>
  </si>
  <si>
    <t>18TH Floor</t>
  </si>
  <si>
    <t>MAILING ADDRESS CITY</t>
  </si>
  <si>
    <t>WASHINGTON</t>
  </si>
  <si>
    <t>MAILING ADDRESS ZIP/POSTAL CODE</t>
  </si>
  <si>
    <t>20036</t>
  </si>
  <si>
    <t>MAILING ADDRESS ZIP CODE +4</t>
  </si>
  <si>
    <t>MAILING ADDRESS COUNTRY</t>
  </si>
  <si>
    <t>MAILING ADDRESS STATE OR PROVINCE</t>
  </si>
  <si>
    <t>DC</t>
  </si>
  <si>
    <t>GOVT BUS POC FIRST NAME</t>
  </si>
  <si>
    <t>Sam</t>
  </si>
  <si>
    <t>GOVT BUS POC MIDDLE INITIAL</t>
  </si>
  <si>
    <t>GOVT BUS POC LAST NAME</t>
  </si>
  <si>
    <t>Merica</t>
  </si>
  <si>
    <t>GOVT BUS POC TITLE</t>
  </si>
  <si>
    <t>Mr</t>
  </si>
  <si>
    <t>GOVT BUS POC ST ADD 1</t>
  </si>
  <si>
    <t>123 Main Street</t>
  </si>
  <si>
    <t>GOVT BUS POC ST ADD 2</t>
  </si>
  <si>
    <t>Floor 5</t>
  </si>
  <si>
    <t xml:space="preserve">GOVT BUS POC CITY </t>
  </si>
  <si>
    <t>Arlington</t>
  </si>
  <si>
    <t>GOVT BUS POC ZIP/POSTAL CODE</t>
  </si>
  <si>
    <t>99999</t>
  </si>
  <si>
    <t>GOVT BUS POC ZIP CODE +4</t>
  </si>
  <si>
    <t>0001</t>
  </si>
  <si>
    <t>GOVT BUS POC COUNTRY CODE</t>
  </si>
  <si>
    <t>GOVT BUS POC STATE OR PROVINCE</t>
  </si>
  <si>
    <t>VA</t>
  </si>
  <si>
    <t>GOVT BUS POC U.S. PHONE</t>
  </si>
  <si>
    <t>5555551212</t>
  </si>
  <si>
    <t>GOVT BUS POC U.S. PHONE EXT</t>
  </si>
  <si>
    <t>1111</t>
  </si>
  <si>
    <t>GOVT BUS POC NON-U.S. PHONE</t>
  </si>
  <si>
    <t>Mandatory if Country is not USA</t>
  </si>
  <si>
    <t>5555-55555555555</t>
  </si>
  <si>
    <t>GOVT BUS POC FAX U.S. ONLY</t>
  </si>
  <si>
    <t>9876543211</t>
  </si>
  <si>
    <t xml:space="preserve">GOVT BUS POC EMAIL </t>
  </si>
  <si>
    <t>unclesam@sam.gov</t>
  </si>
  <si>
    <t>ALT GOVT BUS POC FIRST NAME</t>
  </si>
  <si>
    <t>ALT GOVT BUS POC MIDDLE INITIAL</t>
  </si>
  <si>
    <t>ALT GOVT BUS POC LAST NAME</t>
  </si>
  <si>
    <t>ALT GOVT BUS POC TITLE</t>
  </si>
  <si>
    <t>ALT GOVT BUS POC ST ADD 1</t>
  </si>
  <si>
    <t>ALT GOVT BUS POC ST ADD 2</t>
  </si>
  <si>
    <t xml:space="preserve">ALT GOVT BUS POC CITY </t>
  </si>
  <si>
    <t>ALT GOVT BUS POC ZIP/POSTAL CODE</t>
  </si>
  <si>
    <t>ALT GOVT BUS POC ZIP CODE +4</t>
  </si>
  <si>
    <t>ALT GOVT BUS POC COUNTRY CODE</t>
  </si>
  <si>
    <t>ALT GOVT BUS POC STATE OR PROVINCE</t>
  </si>
  <si>
    <t>ALT GOVT BUS POC U.S. PHONE</t>
  </si>
  <si>
    <t>ALT GOVT BUS POC U.S. PHONE EXT</t>
  </si>
  <si>
    <t>ALT GOVT BUS POC NON-U.S. PHONE</t>
  </si>
  <si>
    <t>ALT GOVT BUS POC FAX U.S. ONLY</t>
  </si>
  <si>
    <t xml:space="preserve">ALT GOVT BUS POC EMAIL </t>
  </si>
  <si>
    <t>PAST PERF POC POC  FIRST NAME</t>
  </si>
  <si>
    <t>PAST PERF POC POC  MIDDLE INITIAL</t>
  </si>
  <si>
    <t>PAST PERF POC POC  LAST NAME</t>
  </si>
  <si>
    <t>PAST PERF POC POC  TITLE</t>
  </si>
  <si>
    <t>PAST PERF POC ST ADD 1</t>
  </si>
  <si>
    <t>PAST PERF POC ST ADD 2</t>
  </si>
  <si>
    <t xml:space="preserve">PAST PERF POC CITY </t>
  </si>
  <si>
    <t>PAST PERF POC ZIP/POSTAL CODE</t>
  </si>
  <si>
    <t>PAST PERF POC ZIP CODE +4</t>
  </si>
  <si>
    <t>PAST PERF POC COUNTRY CODE</t>
  </si>
  <si>
    <t>PAST PERF POC STATE OR PROVINCE</t>
  </si>
  <si>
    <t>PAST PERF POC U.S. PHONE</t>
  </si>
  <si>
    <t>PAST PERF POC U.S. PHONE EXT</t>
  </si>
  <si>
    <t>PAST PERF POC NON-U.S. PHONE</t>
  </si>
  <si>
    <t>PAST PERF POC FAX U.S. ONLY</t>
  </si>
  <si>
    <t xml:space="preserve">PAST PERF POC EMAIL </t>
  </si>
  <si>
    <t>ALT PAST PERF POC FIRST NAME</t>
  </si>
  <si>
    <t>ALT PAST PERF POC MIDDLE INITIAL</t>
  </si>
  <si>
    <t>ALT PAST PERF POC LAST NAME</t>
  </si>
  <si>
    <t>ALT PAST PERF POC TITLE</t>
  </si>
  <si>
    <t>ALT PAST PERF POC ST ADD 1</t>
  </si>
  <si>
    <t>ALT PAST PERF POC ST ADD 2</t>
  </si>
  <si>
    <t xml:space="preserve">ALT PAST PERF POC CITY </t>
  </si>
  <si>
    <t>ALT PAST PERF POC ZIP/POSTAL CODE</t>
  </si>
  <si>
    <t>ALT PAST PERF POC ZIP CODE +4</t>
  </si>
  <si>
    <t>ALT PAST PERF POC COUNTRY CODE</t>
  </si>
  <si>
    <t>ALT PAST PERF POC STATE OR PROVINCE</t>
  </si>
  <si>
    <t>ALT PAST PERF POC U.S. PHONE</t>
  </si>
  <si>
    <t>ALT PAST PERF POC U.S. PHONE EXT</t>
  </si>
  <si>
    <t>ALT PAST PERF POC NON-U.S. PHONE</t>
  </si>
  <si>
    <t>ALT PAST PERF POC FAX U.S. ONLY</t>
  </si>
  <si>
    <t xml:space="preserve">ALT PAST PERF POC EMAIL </t>
  </si>
  <si>
    <t>ELEC BUS POC FIRST NAME</t>
  </si>
  <si>
    <t>ELEC BUS POC MIDDLE INITIAL</t>
  </si>
  <si>
    <t>ELEC BUS POC LAST NAME</t>
  </si>
  <si>
    <t>ELEC BUS POC TITLE</t>
  </si>
  <si>
    <t>ELEC BUS POC ST ADD 1</t>
  </si>
  <si>
    <t>ELEC BUS POC ST ADD 2</t>
  </si>
  <si>
    <t xml:space="preserve">ELEC BUS POC CITY </t>
  </si>
  <si>
    <t>ELEC BUS POC ZIP/POSTAL CODE</t>
  </si>
  <si>
    <t>ELEC BUS POC ZIP CODE +4</t>
  </si>
  <si>
    <t>ELEC BUS POC COUNTRY CODE</t>
  </si>
  <si>
    <t>ELEC BUS POC STATE OR PROVINCE</t>
  </si>
  <si>
    <t>ELEC BUS POC U.S. PHONE</t>
  </si>
  <si>
    <t>ELEC BUS POC U.S. PHONE EXT</t>
  </si>
  <si>
    <t>ELEC BUS POC NON-U.S. PHONE</t>
  </si>
  <si>
    <t>ELEC BUS POC FAX U.S. ONLY</t>
  </si>
  <si>
    <t>ELEC BUS POC EMAIL</t>
  </si>
  <si>
    <t>ALT ELEC POC BUS POC FIRST NAME</t>
  </si>
  <si>
    <t>ALT ELEC POC BUS POC MIDDLE INITIAL</t>
  </si>
  <si>
    <t>ALT ELEC POC BUS POC LAST NAME</t>
  </si>
  <si>
    <t>ALT ELEC POC BUS POC TITLE</t>
  </si>
  <si>
    <t>ALT ELEC POC BUS ST ADD 1</t>
  </si>
  <si>
    <t>ALT ELEC POC BUS ST ADD 2</t>
  </si>
  <si>
    <t xml:space="preserve">ALT ELEC POC BUS CITY </t>
  </si>
  <si>
    <t>ALT ELEC POC BUS ZIP/POSTAL CODE</t>
  </si>
  <si>
    <t>ALT ELEC POC BUS ZIP CODE +4</t>
  </si>
  <si>
    <t>ALT ELEC POC BUS COUNTRY CODE</t>
  </si>
  <si>
    <t>ALT ELEC POC BUS STATE OR PROVINCE</t>
  </si>
  <si>
    <t>ALT ELEC POC BUS U.S. PHONE</t>
  </si>
  <si>
    <t>ALT ELEC POC BUS U.S. PHONE EXT</t>
  </si>
  <si>
    <t>ALT ELEC POC BUS NON-U.S. PHONE</t>
  </si>
  <si>
    <t>ALT ELEC POC BUS FAX U.S. ONLY</t>
  </si>
  <si>
    <t xml:space="preserve">ALT ELEC POC BUS EMAIL </t>
  </si>
  <si>
    <t>PARTY PERFORMING CERTIFICATION POC FIRST NAME</t>
  </si>
  <si>
    <t>PARTY PERFORMING CERTIFICATION POC MIDDLE INITIAL</t>
  </si>
  <si>
    <t>PARTY PERFORMING CERTIFICATION POC LAST NAME</t>
  </si>
  <si>
    <t>PARTY PERFORMING CERTIFICATION POC TITLE</t>
  </si>
  <si>
    <t>PARTY PERFORMING CERTIFICATION POC BUS ST ADD 1</t>
  </si>
  <si>
    <t>PARTY PERFORMING CERTIFICATION POC BUS ST ADD 2</t>
  </si>
  <si>
    <t xml:space="preserve">PARTY PERFORMING CERTIFICATION POC BUS CITY </t>
  </si>
  <si>
    <t>PARTY PERFORMING CERTIFICATION POC BUS ZIP/POSTAL CODE</t>
  </si>
  <si>
    <t>PARTY PERFORMING CERTIFICATION POC BUS ZIP CODE +4</t>
  </si>
  <si>
    <t>PARTY PERFORMING CERTIFICATION POC BUS COUNTRY CODE</t>
  </si>
  <si>
    <t>PARTY PERFORMING CERTIFICATION POC BUS STATE OR PROVINCE</t>
  </si>
  <si>
    <t>PARTY PERFORMING CERTIFICATION POC U.S. PHONE</t>
  </si>
  <si>
    <t>PARTY PERFORMING CERTIFICATION POC U.S. PHONE EXT</t>
  </si>
  <si>
    <t>PARTY PERFORMING CERTIFICATION POC NON-U.S. PHONE</t>
  </si>
  <si>
    <t>PARTY PERFORMING CERTIFICATION POC FAX U.S. ONLY</t>
  </si>
  <si>
    <t>PARTY PERFORMING CERTIFICATION POC EMAIL</t>
  </si>
  <si>
    <t>SOLE PROPRIETORSHIP POC FIRST NAME</t>
  </si>
  <si>
    <t>SOLE PROPRIETORSHIP POC MIDDLE INITIAL</t>
  </si>
  <si>
    <t>SOLE PROPRIETORSHIP POC LAST NAME</t>
  </si>
  <si>
    <t>SOLE PROPRIETORSHIP POC TITLE</t>
  </si>
  <si>
    <t>SOLE PROPRIETORSHIP POC U.S. PHONE</t>
  </si>
  <si>
    <t>SOLE PROPRIETORSHIP POC U.S. PHONE EXT</t>
  </si>
  <si>
    <t>SOLE PROPRIETORSHIP POC NON-U.S. PHONE</t>
  </si>
  <si>
    <t>SOLE PROPRIETORSHIP POC FAX U.S. ONLY</t>
  </si>
  <si>
    <t xml:space="preserve">SOLE PROPRIETORSHIP POC EMAIL </t>
  </si>
  <si>
    <t>IMMEDIATE PARENT LEGAL BUSINESS NAME</t>
  </si>
  <si>
    <t>This is the Legal Business Name of the immediate parent entity of the registrant</t>
  </si>
  <si>
    <t>JOLLY COMPANY</t>
  </si>
  <si>
    <t>IMMEDIATE PARENT UNIQUE ENTITY ID</t>
  </si>
  <si>
    <t>This is the UEI number of the immediate parent entity of the registrant</t>
  </si>
  <si>
    <t>RA13ZADE4741</t>
  </si>
  <si>
    <t>IMMEDIATE PARENT ST ADD 1</t>
  </si>
  <si>
    <t>This is the Street Address 1 of the immediate parent entity of the registrant</t>
  </si>
  <si>
    <t>IMMEDIATE PARENT ST ADD 2</t>
  </si>
  <si>
    <t>This is the Street Address 2 of the immediate parent entity of the registrant</t>
  </si>
  <si>
    <t>IMMEDIATE PARENT CITY</t>
  </si>
  <si>
    <t>This is the City of the immediate parent entity of the registrant</t>
  </si>
  <si>
    <t>IMMEDIATE PARENT POSTAL CODE</t>
  </si>
  <si>
    <t>This is the Postal Code of the immediate parent entity of the registrant</t>
  </si>
  <si>
    <t>551111012</t>
  </si>
  <si>
    <t>IMMEDIATE PARENT COUNTRY CODE</t>
  </si>
  <si>
    <t>This is the Country Code of the immediate parent entity of the registrant</t>
  </si>
  <si>
    <t>IMMEDIATE PARENT STATE OR PROVINCE</t>
  </si>
  <si>
    <t>This is the State or Province of the immediate parent entity of the registrant</t>
  </si>
  <si>
    <t>IMMEDIATE PARENT PHONE</t>
  </si>
  <si>
    <t>This is the Phone Number of the immediate parent entity of the registrant</t>
  </si>
  <si>
    <t>6123431567</t>
  </si>
  <si>
    <t>HQ PARENT LEGAL BUSINESS NAME</t>
  </si>
  <si>
    <t>Mandatory to be present if the entity has a Headquarters on file with EVS</t>
  </si>
  <si>
    <t>HQ PARENT UNIQUE ENTITY ID</t>
  </si>
  <si>
    <t>This is the UEI number of the hq parent entity of the registrant</t>
  </si>
  <si>
    <t xml:space="preserve">Blank Spaces, formerly occupied by the prior HQ Parent Identifier </t>
  </si>
  <si>
    <t xml:space="preserve">             </t>
  </si>
  <si>
    <t>HQ PARENT ST ADD 1</t>
  </si>
  <si>
    <t>HQ PARENT ST ADD 2</t>
  </si>
  <si>
    <t>HQ PARENT CITY</t>
  </si>
  <si>
    <t>HQ PARENT POSTAL CODE</t>
  </si>
  <si>
    <t>HQ PARENT COUNTRY CODE</t>
  </si>
  <si>
    <t>HQ PARENT STATE OR PROVINCE</t>
  </si>
  <si>
    <t>HQ PARENT PHONE</t>
  </si>
  <si>
    <t>DOMESTIC PARENT LEGAL BUSINESS NAME</t>
  </si>
  <si>
    <t>Mandatory to be present if the entity has an Ultimate Domestic Parent on file with EVS</t>
  </si>
  <si>
    <t>DOMESTIC PARENT UNIQUE ENTITY ID</t>
  </si>
  <si>
    <t>This is the UEI number of the domestic parent entity of the registrant</t>
  </si>
  <si>
    <t xml:space="preserve">Blank Spaces, formerly occupied by the prior Domestic Parent Identifier </t>
  </si>
  <si>
    <t>DOMESTIC PARENT ST ADD 1</t>
  </si>
  <si>
    <t>DOMESTIC PARENT ST ADD 2</t>
  </si>
  <si>
    <t>DOMESTIC PARENT CITY</t>
  </si>
  <si>
    <t>DOMESTIC PARENT POSTAL CODE</t>
  </si>
  <si>
    <t>DOMESTIC PARENT COUNTRY CODE</t>
  </si>
  <si>
    <t>DOMESTIC PARENT STATE OR PROVINCE</t>
  </si>
  <si>
    <t>DOMESTIC PARENT PHONE</t>
  </si>
  <si>
    <t>ULTIMATE PARENT LEGAL BUSINESS NAME</t>
  </si>
  <si>
    <t>Mandatory to be present if the entity has an Ultimate Parent on file with EVS</t>
  </si>
  <si>
    <t>ULTIMATE PARENT UNIQUE ENTITY ID</t>
  </si>
  <si>
    <t>This is the UEI number of the ultimate parent entity of the registrant</t>
  </si>
  <si>
    <t>ULTIMATE PARENT ST ADD 1</t>
  </si>
  <si>
    <t>ULTIMATE PARENT ST ADD 2</t>
  </si>
  <si>
    <t>ULTIMATE PARENT CITY</t>
  </si>
  <si>
    <t>ULTIMATE PARENT POSTAL CODE</t>
  </si>
  <si>
    <t>ULTIMATE PARENT COUNTRY CODE</t>
  </si>
  <si>
    <t>ULTIMATE PARENT STATE OR PROVINCE</t>
  </si>
  <si>
    <t>ULTIMATE PARENT PHONE</t>
  </si>
  <si>
    <t>EVS OUT OF BUSINESS INDICATOR</t>
  </si>
  <si>
    <t>Y or Null</t>
  </si>
  <si>
    <t>Can be Y, N, or Null. Only Y indicates there is an EVS Out of Business Indicator.</t>
  </si>
  <si>
    <t>EVS MONITORING LAST UPDATED</t>
  </si>
  <si>
    <t>20120720</t>
  </si>
  <si>
    <t>EVS MONITORING STATUS</t>
  </si>
  <si>
    <t>0 or 1</t>
  </si>
  <si>
    <t>U</t>
  </si>
  <si>
    <t>EVS MONITORING LEGAL BUSINESS NAME</t>
  </si>
  <si>
    <t>U.S. BANCORP</t>
  </si>
  <si>
    <t>EVS MONITORING DBA</t>
  </si>
  <si>
    <t>EVS MONITORING ADDRESS 1</t>
  </si>
  <si>
    <t>800 NICOLLET MALL STE 1222213</t>
  </si>
  <si>
    <t>EVS MONITORING ADDRESS 2</t>
  </si>
  <si>
    <t>APT B</t>
  </si>
  <si>
    <t>EVS MONITORING CITY</t>
  </si>
  <si>
    <t>EVS MONITORING POSTAL CODE</t>
  </si>
  <si>
    <t>111127222</t>
  </si>
  <si>
    <t>EVS MONITORING COUNTRY CODE</t>
  </si>
  <si>
    <t>EVS MONITORING STATE OR PROVINCE</t>
  </si>
  <si>
    <t>EDI (Y/N)</t>
  </si>
  <si>
    <t>EDI VAN PROVIDER</t>
  </si>
  <si>
    <t>Kleinschmidt, Inc</t>
  </si>
  <si>
    <t>ISA QUALIFIER</t>
  </si>
  <si>
    <t>02</t>
  </si>
  <si>
    <t>ISA IDENTIFIER</t>
  </si>
  <si>
    <t>NOAM</t>
  </si>
  <si>
    <t>FUNCTIONAL GROUP IDENTIFIER</t>
  </si>
  <si>
    <t>820S REQUEST FLAG</t>
  </si>
  <si>
    <t>Yes/No</t>
  </si>
  <si>
    <t>EDI POC FIRST NAME</t>
  </si>
  <si>
    <t>EDI POC MIDDLE INITIAL</t>
  </si>
  <si>
    <t>EDI POC LAST NAME</t>
  </si>
  <si>
    <t>EDI POC TITLE</t>
  </si>
  <si>
    <t>EDI POC U.S. PHONE</t>
  </si>
  <si>
    <t>EDI POC U.S. PHONE EXT</t>
  </si>
  <si>
    <t>EDI POC NON-U.S. PHONE</t>
  </si>
  <si>
    <t>EDI POC FAX U.S. ONLY</t>
  </si>
  <si>
    <t xml:space="preserve">EDI POC EMAIL </t>
  </si>
  <si>
    <t>TAX IDENTIFIER TYPE</t>
  </si>
  <si>
    <t>1  (SSN) or 2 (TIN)</t>
  </si>
  <si>
    <t xml:space="preserve">Tax Identifier Type  - This data element identifies whether the Tax Identifier provided in the "Tax Identifier Number" column is either an SSN (1) or a TIN (2).  </t>
  </si>
  <si>
    <t>1 - SSN
2 - TIN</t>
  </si>
  <si>
    <t>Mandatory for US Entities.  Optional for Foreign and IGT-only Entities</t>
  </si>
  <si>
    <t>TAX IDENTIFIER NUMBER</t>
  </si>
  <si>
    <t>AVERAGE NUMBER OF EMPLOYEES</t>
  </si>
  <si>
    <t>Mandatory if purpose of registration is Z2</t>
  </si>
  <si>
    <t>92267</t>
  </si>
  <si>
    <t>AVERAGE ANNUAL REVENUE</t>
  </si>
  <si>
    <t>1700000</t>
  </si>
  <si>
    <t>FINANCIAL INSTITUTE</t>
  </si>
  <si>
    <t>Mandatory to enter banking information if physical address Country is USA and purpose of registration is Z1 or Z2</t>
  </si>
  <si>
    <t>CITIBANK NA</t>
  </si>
  <si>
    <t>ACCOUNT NUMBER</t>
  </si>
  <si>
    <t>4722204555930011</t>
  </si>
  <si>
    <t>ABA ROUTING ID</t>
  </si>
  <si>
    <t>091000022</t>
  </si>
  <si>
    <t>ACCOUNT TYPE</t>
  </si>
  <si>
    <t>C or S</t>
  </si>
  <si>
    <t>C</t>
  </si>
  <si>
    <t>LOCKBOX NUMBER</t>
  </si>
  <si>
    <t>AUTHORIZATION DATE</t>
  </si>
  <si>
    <t>20120723</t>
  </si>
  <si>
    <t>EFT WAIVER</t>
  </si>
  <si>
    <t>The EFT Waiver Flag indicates whether banking information is required for the entity. “Y” indicates Yes, “N” indicates No.</t>
  </si>
  <si>
    <t>ACH U.S. PHONE</t>
  </si>
  <si>
    <t>If banking information is entered, it is mandatory to enter at least one form of ACH contact: Email, Fax or Phone</t>
  </si>
  <si>
    <t>ACH NON-U.S. PHONE</t>
  </si>
  <si>
    <t>ACH FAX</t>
  </si>
  <si>
    <t>6112522219</t>
  </si>
  <si>
    <t>ACH EMAIL</t>
  </si>
  <si>
    <t>a@b.com</t>
  </si>
  <si>
    <t>REMITTANCE NAME</t>
  </si>
  <si>
    <t>DANIEL FRAZIER</t>
  </si>
  <si>
    <t>REMITTANCE ADDRESS LINE 1</t>
  </si>
  <si>
    <t>304 KORINNA CT</t>
  </si>
  <si>
    <t>REMITTANCE ADDRESS LINE 2</t>
  </si>
  <si>
    <t>REMITTANCE CITY</t>
  </si>
  <si>
    <t>KANSAS CITY</t>
  </si>
  <si>
    <t>REMITTANCE STATE OR PROVINCE</t>
  </si>
  <si>
    <t>MO</t>
  </si>
  <si>
    <t>REMITTANCE ZIP/POSTAL CODE</t>
  </si>
  <si>
    <t>58125</t>
  </si>
  <si>
    <t>REMITTANCE ZIP CODE +4</t>
  </si>
  <si>
    <t>6313</t>
  </si>
  <si>
    <t>REMITTANCE COUNTRY</t>
  </si>
  <si>
    <t>ACCOUNTS RECEIVABLE POC FIRST NAME</t>
  </si>
  <si>
    <t>ACCOUNTS RECEIVABLE POC MIDDLE INITIAL</t>
  </si>
  <si>
    <t>ACCOUNTS RECEIVABLE POC LAST NAME</t>
  </si>
  <si>
    <t>ACCOUNTS RECEIVABLE POC TITLE</t>
  </si>
  <si>
    <t>ACCOUNTS RECEIVABLE POC U.S. PHONE</t>
  </si>
  <si>
    <t>ACCOUNTS RECEIVABLE POC U.S. PHONE EXT</t>
  </si>
  <si>
    <t>ACCOUNTS RECEIVABLE POC NON-U.S. PHONE</t>
  </si>
  <si>
    <t>ACCOUNTS RECEIVABLE POC FAX U.S. ONLY</t>
  </si>
  <si>
    <t xml:space="preserve">ACCOUNTS RECEIVABLE POC EMAIL </t>
  </si>
  <si>
    <t>ACCOUNTS PAYABLE POC FIRST NAME</t>
  </si>
  <si>
    <t>ACCOUNTS PAYABLE POC MIDDLE INITIAL</t>
  </si>
  <si>
    <t>ACCOUNTS PAYABLE POC LAST NAME</t>
  </si>
  <si>
    <t>ACCOUNTS PAYABLE POC TITLE</t>
  </si>
  <si>
    <t>ACCOUNTS PAYABLE POC ST ADD 1</t>
  </si>
  <si>
    <t>ACCOUNTS PAYABLE POC ST ADD 2</t>
  </si>
  <si>
    <t>ACCOUNTS PAYABLE POC CITY</t>
  </si>
  <si>
    <t>ACCOUNTS PAYABLE POC ZIP/POSTAL CODE</t>
  </si>
  <si>
    <t>ACCOUNTS PAYABLE POC ZIP CODE +4</t>
  </si>
  <si>
    <t>ACCOUNTS PAYABLE POC COUNTRY CODE</t>
  </si>
  <si>
    <t>ACCOUNTS PAYABLE POC STATE OR PROVINCE</t>
  </si>
  <si>
    <t>ACCOUNTS PAYABLE POC U.S. PHONE</t>
  </si>
  <si>
    <t>ACCOUNTS PAYABLE POC U.S. PHONE EXT</t>
  </si>
  <si>
    <t>ACCOUNTS PAYABLE POC NON-U.S. PHONE</t>
  </si>
  <si>
    <t>ACCOUNTS PAYABLE POC FAX U.S. ONLY</t>
  </si>
  <si>
    <t>ACCOUNTS PAYABLE POC EMAIL</t>
  </si>
  <si>
    <t>MPIN</t>
  </si>
  <si>
    <t>N/A</t>
  </si>
  <si>
    <t>No longer required</t>
  </si>
  <si>
    <t>12345A789</t>
  </si>
  <si>
    <t>NAICS EXCEPTION COUNTER</t>
  </si>
  <si>
    <t>Four digit identifier that provides the number of NAICS Exceptions to be provided in the NAICS Exception String.</t>
  </si>
  <si>
    <t>0003</t>
  </si>
  <si>
    <t>NAICS EXCEPTION STRING</t>
  </si>
  <si>
    <t>Tilde (~) delimited string that includes exception information for any NAICS Codes that the user has selected that has exceptions.  For more information on the NAICS Exception String, See the STRING Clarification TAB</t>
  </si>
  <si>
    <t xml:space="preserve">237990Y   ~541330Y   ~541712Y   </t>
  </si>
  <si>
    <t>DEBT SUBJECT TO OFFSET FLAG</t>
  </si>
  <si>
    <t>Y, N, Null</t>
  </si>
  <si>
    <t xml:space="preserve">Y - The entity has delinquent debt subject to offset.
N - The entity does not have delinquent debt subject to offset.
Null - SAM has not received information from the Treasury Offset Program (TOP) for this entity, or, this entity does not fall under the TOP. </t>
  </si>
  <si>
    <t>Only applies to entities which provide a Taxpayer Identification Number (TIN) during registration.</t>
  </si>
  <si>
    <t>EXCLUSION STATUS FLAG</t>
  </si>
  <si>
    <t>D or Null</t>
  </si>
  <si>
    <t>This flag indicates whether the entity has an active exclusion record. If this flag is set to “D”, this will indicate that the registrant has an exclusion record.  A null value indicates that this entity does not have an active exclusion record.</t>
  </si>
  <si>
    <t>D</t>
  </si>
  <si>
    <t>SBA BUSINESS TYPES COUNTER</t>
  </si>
  <si>
    <t>Four digit identifier that provides the number of SBA Business Types to be provided in the SBA Business Types String.</t>
  </si>
  <si>
    <t>SBA BUSINESS TYPES STRING</t>
  </si>
  <si>
    <t>Tilde (~) delimited string that includes SBA business type  and expiration information as provided to SAM by SBA.  For more information on the SBA Business Types String, See the STRING Clarification TAB</t>
  </si>
  <si>
    <t>A620191108~XX20191108</t>
  </si>
  <si>
    <t>SAM NUMERICS COUNTER</t>
  </si>
  <si>
    <t>Four digit identifier that provides the number of Numeric Types to be provided in the SAM Numerics Code String.</t>
  </si>
  <si>
    <t>0002</t>
  </si>
  <si>
    <t>SAM NUMERICS CODE STRING</t>
  </si>
  <si>
    <t>Tilde (~) and caret (^) delimited string that includes Numerics data as collected in the assertions page of the SAM Registration. For more information on the SAM Numerics Code String, See the STRING Clarification TAB</t>
  </si>
  <si>
    <t xml:space="preserve">BL^30000000^15000000^30000000^15000000~LS^42^5000000^0^0~PG^1^0^0^0 </t>
  </si>
  <si>
    <t>NO PUBLIC DISPLAY FLAG</t>
  </si>
  <si>
    <t>NPDY or null</t>
  </si>
  <si>
    <t xml:space="preserve">NPDY - User did not authorize their public registration data to be included in SAM Public Search results. 
Null Value - User authorized their public registration data to be included in SAM Public Search results. </t>
  </si>
  <si>
    <t>Mandatory to be present if the entity has opted out of public search.</t>
  </si>
  <si>
    <t>NPDY</t>
  </si>
  <si>
    <t>DISASTER RESPONSE COUNTER</t>
  </si>
  <si>
    <t>Four digit identifier that provides the number of Disaster Response Types to be provided in the Disaster Response String.</t>
  </si>
  <si>
    <t>DISASTER RESPONSE STRING</t>
  </si>
  <si>
    <t>Tilde (~) and caret (^) delimited string that includes Disaster Response data as collected in the assertions page of the SAM Registration. For more information on the Disaster Response String, See the STRING Clarification TAB</t>
  </si>
  <si>
    <t>CTYFL051~CTYFL085~CTYFL099~MSA2700~MSA2710~MSA8960~STAFL</t>
  </si>
  <si>
    <t>ANNUAL IGT REVENUE</t>
  </si>
  <si>
    <t>Annual IGT Revenue - This data element details the amount of revenue the Intra-Governmental Transfer (IGT) entity receives via IGT transactions in a given year.</t>
  </si>
  <si>
    <t>AGENCY LOCATION CODE</t>
  </si>
  <si>
    <t>DISBURSING OFFICE SYMBOL</t>
  </si>
  <si>
    <t>GS167</t>
  </si>
  <si>
    <t>MERCHANT ID 1</t>
  </si>
  <si>
    <t>MERCHANT ID 2</t>
  </si>
  <si>
    <t>ACCOUNTING STATION</t>
  </si>
  <si>
    <t>SOURCE</t>
  </si>
  <si>
    <t>This data element identifies a Federal Government Entity as  either a 'DoD' entity or a 'Federal' Entity</t>
  </si>
  <si>
    <t>DoD - Entity exists within DoD
Federal - Entity exists within a Department that is not DoD</t>
  </si>
  <si>
    <t>Mandatory for U.S Federal / DoD entities</t>
  </si>
  <si>
    <t>DoD</t>
  </si>
  <si>
    <t>DEPARTMENT CODE</t>
  </si>
  <si>
    <t>The two-digit Agency/Department code derived from the Treasury Index.</t>
  </si>
  <si>
    <t>HIERARCHY DEPARTMENT CODE</t>
  </si>
  <si>
    <t>The four digit code that identifies the Department ID for the Federal Government Entity.  The Department codes were originally sourced from FPDS and the NIST/FIPS 800-87 Document.</t>
  </si>
  <si>
    <t>Mandatory if Entity is U.S.Federal Government</t>
  </si>
  <si>
    <t>HIERARCHY DEPARTMENT NAME</t>
  </si>
  <si>
    <t>The functional name that corresponds with the Department Code.</t>
  </si>
  <si>
    <t>DEPT OF DEFENSE</t>
  </si>
  <si>
    <t>HIERARCHY AGENCY CODE</t>
  </si>
  <si>
    <t>The four digit code that identifies the Agency ID for the Federal Government Entity.  The Agency codes were originally sourced from FPDS and the NIST/FIPS 800-87 Document.</t>
  </si>
  <si>
    <t>HIERARCHY AGENCY NAME</t>
  </si>
  <si>
    <t>The functional name that corresponds with the Agency Code.</t>
  </si>
  <si>
    <t>DEPT OF THE ARMY</t>
  </si>
  <si>
    <t>HIERARCHY OFFICE CODE</t>
  </si>
  <si>
    <t>The office code is an up-to six character identifier representing a U.S. government office in the SAM Federal hierarchy. This code exists independently of the unique entity identifier used for registration purposes, i.e. UEI(SAM), DoDAAC, or CAGE Code.</t>
  </si>
  <si>
    <t>W96F31</t>
  </si>
  <si>
    <t>ELIMINATIONS POC FIRST NAME</t>
  </si>
  <si>
    <t>ELIMINATIONS POC MIDDLE INITIAL</t>
  </si>
  <si>
    <t>ELIMINATIONS POC LAST NAME</t>
  </si>
  <si>
    <t>ELIMINATIONS POC TITLE</t>
  </si>
  <si>
    <t>ELIMINATIONS POC ST ADD 1</t>
  </si>
  <si>
    <t>ELIMINATIONS POC ST ADD 2</t>
  </si>
  <si>
    <t>ELIMINATIONS POC CITY</t>
  </si>
  <si>
    <t>ELIMINATIONS POC ZIP/POSTAL CODE</t>
  </si>
  <si>
    <t>ELIMINATIONS POC ZIP CODE +4</t>
  </si>
  <si>
    <t>ELIMINATIONS POC COUNTRY CODE</t>
  </si>
  <si>
    <t>ELIMINATIONS POC STATE OR PROVINCE</t>
  </si>
  <si>
    <t>ELIMINATIONS POC U.S. PHONE</t>
  </si>
  <si>
    <t>ELIMINATIONS POC U.S. PHONE EXT</t>
  </si>
  <si>
    <t>ELIMINATIONS POC NON-U.S. PHONE</t>
  </si>
  <si>
    <t>ELIMINATIONS POC FAX U.S. ONLY</t>
  </si>
  <si>
    <t>ELIMINATIONS POC EMAIL</t>
  </si>
  <si>
    <t>SALES POC FIRST NAME</t>
  </si>
  <si>
    <t>SALES POC MIDDLE INITIAL</t>
  </si>
  <si>
    <t>SALES POC LAST NAME</t>
  </si>
  <si>
    <t>SALES POC TITLE</t>
  </si>
  <si>
    <t>SALES POC ST ADD 1</t>
  </si>
  <si>
    <t>SALES POC ST ADD 2</t>
  </si>
  <si>
    <t>SALES POC CITY</t>
  </si>
  <si>
    <t>SALES POC ZIP/POSTAL CODE</t>
  </si>
  <si>
    <t>SALES POC ZIP CODE +4</t>
  </si>
  <si>
    <t>SALES POC COUNTRY CODE</t>
  </si>
  <si>
    <t>SALES POC STATE OR PROVINCE</t>
  </si>
  <si>
    <t>SALES POC U.S. PHONE</t>
  </si>
  <si>
    <t>SALES POC U.S. PHONE EXT</t>
  </si>
  <si>
    <t>SALES POC NON-U.S. PHONE</t>
  </si>
  <si>
    <t>SALES POC FAX U.S. ONLY</t>
  </si>
  <si>
    <t>SALES POC EMAIL</t>
  </si>
  <si>
    <t>TAXPAYER NAME</t>
  </si>
  <si>
    <t>MICRO MACHINES, INC.</t>
  </si>
  <si>
    <t>ENTITY EVS SOURCE</t>
  </si>
  <si>
    <t>EVS Source of the SAM and non-SAM registrants</t>
  </si>
  <si>
    <t>D&amp;B</t>
  </si>
  <si>
    <t>HQ PARENT EVS SOURCE</t>
  </si>
  <si>
    <t>EVS Source of the SAM registrant hierarchy</t>
  </si>
  <si>
    <t>DOMESTIC PARENT EVS SOURCE</t>
  </si>
  <si>
    <t>ULTIMATE PARENT EVS SOURCE</t>
  </si>
  <si>
    <t>IMMEDIATE PARENT EVS SOURCE</t>
  </si>
  <si>
    <t>TIN TYPE</t>
  </si>
  <si>
    <t>SSN</t>
  </si>
  <si>
    <t>TIN NUMBER</t>
  </si>
  <si>
    <t>FLEX FIELD 6</t>
  </si>
  <si>
    <t>Flexible field set aside future SAM Data elements</t>
  </si>
  <si>
    <t>FLEX FIELD 7</t>
  </si>
  <si>
    <t>FLEX FIELD 8</t>
  </si>
  <si>
    <t>FLEX FIELD 9</t>
  </si>
  <si>
    <t>FLEX FIELD 10</t>
  </si>
  <si>
    <t>FLEX FIELD 11</t>
  </si>
  <si>
    <t>FLEX FIELD 12</t>
  </si>
  <si>
    <t>FLEX FIELD 13</t>
  </si>
  <si>
    <t>FLEX FIELD 14</t>
  </si>
  <si>
    <t>FLEX FIELD 15</t>
  </si>
  <si>
    <t>FLEX FIELD 16</t>
  </si>
  <si>
    <t>FLEX FIELD 17</t>
  </si>
  <si>
    <t>FLEX FIELD 18</t>
  </si>
  <si>
    <t>FLEX FIELD 19</t>
  </si>
  <si>
    <t>FLEX FIELD 20</t>
  </si>
  <si>
    <t>END OF RECORD INDICATOR</t>
  </si>
  <si>
    <t>Identifier that serves to demarcate the end of each individual record in the extract file.</t>
  </si>
  <si>
    <t>!end</t>
  </si>
  <si>
    <t>SAM Numerics Code String</t>
  </si>
  <si>
    <t>CODE_TYPE</t>
  </si>
  <si>
    <t>Sequence Number</t>
  </si>
  <si>
    <t>Description</t>
  </si>
  <si>
    <t>*SAM Numerics explanation:</t>
  </si>
  <si>
    <t>LS</t>
  </si>
  <si>
    <t>Local Size numbers</t>
  </si>
  <si>
    <t xml:space="preserve">SAM Numerics are various SAM values that are further defined as noted below. </t>
  </si>
  <si>
    <t>Local Avg. Number of Employees (max. 999,999,999,999,999)</t>
  </si>
  <si>
    <t>Local Avg. Annual Revenue (max. 999,999,999,999,999)</t>
  </si>
  <si>
    <t>Not Used</t>
  </si>
  <si>
    <t xml:space="preserve">The first 2 positions of SAM Numerics is a numeric identification code, followed by a set of '^' delimited numbers that fill four positions.  </t>
  </si>
  <si>
    <t>BK</t>
  </si>
  <si>
    <t>SBA NAICS Banking Size Addl data</t>
  </si>
  <si>
    <t>SAM NUMERICS CODE STRING: Holds X related 'Metrics' groups.</t>
  </si>
  <si>
    <t>Total Assets from 4th qtr, preceding year</t>
  </si>
  <si>
    <t>Breakdown of the string and example below:</t>
  </si>
  <si>
    <t>". . . ~BL^30000000^15000000^30000000^15000000~LS^42^5000000^0^0~PG^1^0^0^0~ . . ."</t>
  </si>
  <si>
    <t>PG</t>
  </si>
  <si>
    <t>SBA NAICS Power Gen. Addl data</t>
  </si>
  <si>
    <t>Total MWH, preceding fiscal year, all affiliates</t>
  </si>
  <si>
    <t>Position1 = Code Type == "BL" , "LS", "PG"</t>
  </si>
  <si>
    <t>Position2 = Value For Sequence #1        == "30000000" , "42", "1"</t>
  </si>
  <si>
    <t>Position3 = Value For Sequence #2        == "15000000" , "42", "0"</t>
  </si>
  <si>
    <t>Position4 = Value For Sequence #        == "30000000" , "42", "0"</t>
  </si>
  <si>
    <t>PT</t>
  </si>
  <si>
    <t>SBA NAICS Petroleum Addl data</t>
  </si>
  <si>
    <t>Position4 = Value For Sequence #1        == "30000000" , "42", "0"</t>
  </si>
  <si>
    <t>Bbl/day, Oper. Atmos. Crude Oil Distil. capacity</t>
  </si>
  <si>
    <t>LS1 = Local Avg. Number of Employees</t>
  </si>
  <si>
    <t>1239 = Location Employees Value</t>
  </si>
  <si>
    <t>BL</t>
  </si>
  <si>
    <t>Bonding Levels for Disaster Relief Registry</t>
  </si>
  <si>
    <t>BK1 = Total Assets from 4th qtr, preceding year</t>
  </si>
  <si>
    <t>Construction Bonding Level, Per Contract (dollars)</t>
  </si>
  <si>
    <t>220000 = Total Assets Value</t>
  </si>
  <si>
    <t>Construction Bonding Level, Aggregate (dollars)</t>
  </si>
  <si>
    <t>Service Bonding Level, Per Contract (dollars)</t>
  </si>
  <si>
    <t>Service Bonding Level, Aggregate (dollars)</t>
  </si>
  <si>
    <t>SAM Disaster Response String</t>
  </si>
  <si>
    <t>Type Code</t>
  </si>
  <si>
    <t>Type Description</t>
  </si>
  <si>
    <t>*SAM Disaster Response explanation:</t>
  </si>
  <si>
    <t>ANY</t>
  </si>
  <si>
    <t>Any area</t>
  </si>
  <si>
    <t>SAM Disaster Response contains various SAM values that are further defined as noted below.</t>
  </si>
  <si>
    <t>STA</t>
  </si>
  <si>
    <t>State</t>
  </si>
  <si>
    <t>CTY</t>
  </si>
  <si>
    <t>County</t>
  </si>
  <si>
    <t>MSA</t>
  </si>
  <si>
    <t>Metropolitan Service Area</t>
  </si>
  <si>
    <t>The first three positions of a Disaster Response represent an area serviced code, followed by an</t>
  </si>
  <si>
    <t>area code. State area codes are two positions, County area codes are five positions and</t>
  </si>
  <si>
    <t>Metropolitan Service Area area codes are four positions. An area serviced code of "ANY" will not</t>
  </si>
  <si>
    <t xml:space="preserve">be followed by an area code. </t>
  </si>
  <si>
    <t>"CTYFL051~CTYFL085~CTYFL099~MSA2700~MSA2710~MSA8960~STAFL"</t>
  </si>
  <si>
    <t>Position1 = Type Code == "CTY" , "CTY", "CTY", "MSA" , "MSA", "MSA", "STA"</t>
  </si>
  <si>
    <t>Position2 = Area Code == "FL051" , "FL085" , "FL099", "2700", "2710", "8960", "FL"</t>
  </si>
  <si>
    <t>CTY = County code</t>
  </si>
  <si>
    <t>FL051 = Pasco</t>
  </si>
  <si>
    <t>FL085 = Sarasota</t>
  </si>
  <si>
    <t>FL099 = Fairfield</t>
  </si>
  <si>
    <t>MSA = Metropolitan Service Area code</t>
  </si>
  <si>
    <t>2700 = Fort Myers-Cape Coral, FL</t>
  </si>
  <si>
    <t>2710 = Fort Pierce-Port Stlucie, FL</t>
  </si>
  <si>
    <t>8960 = West Palm Beach-Boca Raton, FL</t>
  </si>
  <si>
    <t>STA = State code</t>
  </si>
  <si>
    <t>FL = Florida (Per STATE_List.csv)</t>
  </si>
  <si>
    <t>Bus Type String</t>
  </si>
  <si>
    <t>Business Type Code</t>
  </si>
  <si>
    <t>Business Type Name</t>
  </si>
  <si>
    <t>2R</t>
  </si>
  <si>
    <t>U.S Federal Government</t>
  </si>
  <si>
    <t>2F</t>
  </si>
  <si>
    <t>U.S. State Government</t>
  </si>
  <si>
    <t>12</t>
  </si>
  <si>
    <t>U.S. Local Government</t>
  </si>
  <si>
    <t>3I</t>
  </si>
  <si>
    <t>Tribal Government</t>
  </si>
  <si>
    <t>". . . ~8W~A7~A8~. . ."</t>
  </si>
  <si>
    <t>CY</t>
  </si>
  <si>
    <t>Foreign Government</t>
  </si>
  <si>
    <t>A7</t>
  </si>
  <si>
    <t>AbilityOne Non Profit Agency</t>
  </si>
  <si>
    <t>Position1 = Business Type Code == "8W" , "A7" , "A8"</t>
  </si>
  <si>
    <t>20</t>
  </si>
  <si>
    <t>Foreign Owned</t>
  </si>
  <si>
    <t>JS</t>
  </si>
  <si>
    <t xml:space="preserve">Small Business Joint Venture </t>
  </si>
  <si>
    <t>1D</t>
  </si>
  <si>
    <t>Small Agricultural Cooperative</t>
  </si>
  <si>
    <t>LJ</t>
  </si>
  <si>
    <t>Limited Liability Company</t>
  </si>
  <si>
    <t>XS</t>
  </si>
  <si>
    <t>Subchapter S Corporation</t>
  </si>
  <si>
    <t>MF</t>
  </si>
  <si>
    <t>Manufacturer of Goods</t>
  </si>
  <si>
    <t>2X</t>
  </si>
  <si>
    <t>For Profit Organization</t>
  </si>
  <si>
    <t>A8</t>
  </si>
  <si>
    <t>Non-Profit Organization</t>
  </si>
  <si>
    <t>2U</t>
  </si>
  <si>
    <t>Other Not For Profit Organization</t>
  </si>
  <si>
    <t>HK</t>
  </si>
  <si>
    <t>Community Development Corporation Owned Firm</t>
  </si>
  <si>
    <t>A3</t>
  </si>
  <si>
    <t>Labor Surplus Area Firm</t>
  </si>
  <si>
    <t>A5</t>
  </si>
  <si>
    <t>Veteran-Owned Business</t>
  </si>
  <si>
    <t>QF</t>
  </si>
  <si>
    <t>Service-Disabled Veteran-Owned Business</t>
  </si>
  <si>
    <t>JV</t>
  </si>
  <si>
    <t>Service-Disabled Veteran-Owned Business Joint Venture</t>
  </si>
  <si>
    <t>A2</t>
  </si>
  <si>
    <t>Women-Owned Business</t>
  </si>
  <si>
    <t>23</t>
  </si>
  <si>
    <t>Minority-Owned Business</t>
  </si>
  <si>
    <t>FR</t>
  </si>
  <si>
    <t>Asian-Pacific American Owned</t>
  </si>
  <si>
    <t>QZ</t>
  </si>
  <si>
    <t>Subcontinent Asian (Asian-Indian) American Owned</t>
  </si>
  <si>
    <t>OY</t>
  </si>
  <si>
    <t>Black American Owned</t>
  </si>
  <si>
    <t>PI</t>
  </si>
  <si>
    <t>Hispanic American Owned</t>
  </si>
  <si>
    <t>NB</t>
  </si>
  <si>
    <t>Native American Owned</t>
  </si>
  <si>
    <t>8W</t>
  </si>
  <si>
    <t>Women-Owned Small Business</t>
  </si>
  <si>
    <t>27</t>
  </si>
  <si>
    <t>Self Certified Small Disadvantaged Business</t>
  </si>
  <si>
    <t>8C</t>
  </si>
  <si>
    <t>Women-Owned Small Business (WOSB) Joint Venture Eligible under the WOSB Program</t>
  </si>
  <si>
    <t>8D</t>
  </si>
  <si>
    <t>Economically Disadvantaged Women-Owned Small Business (EDWOSB) Joint Venture</t>
  </si>
  <si>
    <t>NG</t>
  </si>
  <si>
    <t>Federal Agency</t>
  </si>
  <si>
    <t>QW</t>
  </si>
  <si>
    <t>Federally Funded Research and Development Center</t>
  </si>
  <si>
    <t>C8</t>
  </si>
  <si>
    <t>City</t>
  </si>
  <si>
    <t>C7</t>
  </si>
  <si>
    <t>ZR</t>
  </si>
  <si>
    <t>Inter-municipal</t>
  </si>
  <si>
    <t>MG</t>
  </si>
  <si>
    <t>Local Government Owned</t>
  </si>
  <si>
    <t>C6</t>
  </si>
  <si>
    <t>Municipality</t>
  </si>
  <si>
    <t>H6</t>
  </si>
  <si>
    <t>School District</t>
  </si>
  <si>
    <t>TW</t>
  </si>
  <si>
    <t>Transit Authority</t>
  </si>
  <si>
    <t>UD</t>
  </si>
  <si>
    <t>Council of Governments</t>
  </si>
  <si>
    <t>8B</t>
  </si>
  <si>
    <t>Housing Authorities Public/Tribal</t>
  </si>
  <si>
    <t>86</t>
  </si>
  <si>
    <t>Interstate Entity</t>
  </si>
  <si>
    <t>KM</t>
  </si>
  <si>
    <t>Planning Commission</t>
  </si>
  <si>
    <t>T4</t>
  </si>
  <si>
    <t>Port Authority</t>
  </si>
  <si>
    <t>H2</t>
  </si>
  <si>
    <t xml:space="preserve">Community Development Corporation </t>
  </si>
  <si>
    <t>6D</t>
  </si>
  <si>
    <t>Domestic Shelter</t>
  </si>
  <si>
    <t>M8</t>
  </si>
  <si>
    <t>Educational Institution</t>
  </si>
  <si>
    <t>G6</t>
  </si>
  <si>
    <t>1862 Land Grant College</t>
  </si>
  <si>
    <t>G7</t>
  </si>
  <si>
    <t>1890 Land Grant College</t>
  </si>
  <si>
    <t>G8</t>
  </si>
  <si>
    <t>1994 Land Grant College</t>
  </si>
  <si>
    <t>HB</t>
  </si>
  <si>
    <t>Historically Black College or University</t>
  </si>
  <si>
    <t>1A</t>
  </si>
  <si>
    <t>Minority Institution</t>
  </si>
  <si>
    <t>1R</t>
  </si>
  <si>
    <t>Private University or College</t>
  </si>
  <si>
    <t>ZW</t>
  </si>
  <si>
    <t>School of Forestry</t>
  </si>
  <si>
    <t>GW</t>
  </si>
  <si>
    <t>Hispanic Servicing Institution</t>
  </si>
  <si>
    <t>OH</t>
  </si>
  <si>
    <t>State Controlled Institution of Higher Learning</t>
  </si>
  <si>
    <t>HS</t>
  </si>
  <si>
    <t>Tribal College</t>
  </si>
  <si>
    <t>QU</t>
  </si>
  <si>
    <t>Veterinary College</t>
  </si>
  <si>
    <t>G3</t>
  </si>
  <si>
    <t>Alaskan Native Servicing Institution</t>
  </si>
  <si>
    <t>G5</t>
  </si>
  <si>
    <t>Native Hawaiian Servicing Institution</t>
  </si>
  <si>
    <t>BZ</t>
  </si>
  <si>
    <t>Foundation</t>
  </si>
  <si>
    <t>80</t>
  </si>
  <si>
    <t>Hospital</t>
  </si>
  <si>
    <t>FY</t>
  </si>
  <si>
    <t>Veterinary Hospital</t>
  </si>
  <si>
    <t>HQ</t>
  </si>
  <si>
    <t>DOT Certified DBE</t>
  </si>
  <si>
    <t>05</t>
  </si>
  <si>
    <t>Alaskan Native Corporation Owned Firm</t>
  </si>
  <si>
    <t>OW</t>
  </si>
  <si>
    <t>American Indian Owned</t>
  </si>
  <si>
    <t>XY</t>
  </si>
  <si>
    <t>Indian Tribe (Federally Recognized)</t>
  </si>
  <si>
    <t>8U</t>
  </si>
  <si>
    <t>Native Hawaiian Organization Owned Firm</t>
  </si>
  <si>
    <t>1B</t>
  </si>
  <si>
    <t>Tribally Owned Firm</t>
  </si>
  <si>
    <t>FO</t>
  </si>
  <si>
    <t>Township</t>
  </si>
  <si>
    <t>TR</t>
  </si>
  <si>
    <t>Airport Authority</t>
  </si>
  <si>
    <t>G9</t>
  </si>
  <si>
    <t>Individual or concern, other than one of the proceeding</t>
  </si>
  <si>
    <t>JX</t>
  </si>
  <si>
    <t>Self-Certified HUBZone Joint Venture</t>
  </si>
  <si>
    <t>1E</t>
  </si>
  <si>
    <t>Indian Economic Enterprise</t>
  </si>
  <si>
    <t>1S</t>
  </si>
  <si>
    <t>Indian Small Business Economic Enterprise</t>
  </si>
  <si>
    <t>V2 **</t>
  </si>
  <si>
    <t>Grants</t>
  </si>
  <si>
    <t>** Business Type Codes V2 and VW are no longer active in SAM.</t>
  </si>
  <si>
    <t>VW **</t>
  </si>
  <si>
    <t>Contracts and Grants</t>
  </si>
  <si>
    <t>These are legacy business type codes which map to SAM Purpose of Registration Codes</t>
  </si>
  <si>
    <t>NAICS Code String</t>
  </si>
  <si>
    <t>NAICS CODE; Repeat X times to correspond with counter.  The letter next to the NAICS code is the Small Business indicator (Y/N/E).</t>
  </si>
  <si>
    <t xml:space="preserve">Please note:  The following NAICS codes do not have any size standards with SBA and therefore there will be no Y/N/E answer for the small business status associated with the NAICS codes below.  These NAICS codes will be sent with a blank space " " in place of the Y/N/E answer:
112130, 521110, 541120, 551114, 814110, 921110, 921120, 921130, 921140, 921150, 921190, 922110, 922120, 922130, 922140
922150, 922160, 922190, 923110, 923120, 923130, 923140, 924110, 924120, 925110, 925120, 926110, 926120, 926130, 926140
926150, 927110, 928110
</t>
  </si>
  <si>
    <t>"… ~237990N~541340N~ …"</t>
  </si>
  <si>
    <t>Position1 = NAICS Code == "237990" , "541340"</t>
  </si>
  <si>
    <t>Position2 = Small Business Indication == "N" , "N"</t>
  </si>
  <si>
    <t>PSC Code String</t>
  </si>
  <si>
    <t xml:space="preserve">PSC CODE; Repeat X times to correspond with counter.  </t>
  </si>
  <si>
    <t>"… ~Y159~Y161~Y162~Y163~Y179~Y222~Z200~Z300~ …"</t>
  </si>
  <si>
    <t>Position1 = PSC Code == "Y159", "Y161", "Y162", "Y163", "Y179", "Y222", "Z200", "Z300"</t>
  </si>
  <si>
    <t>NAICS Exception String (Effective February 2023)</t>
  </si>
  <si>
    <t>NAICS Code</t>
  </si>
  <si>
    <t>Exception #</t>
  </si>
  <si>
    <t>NAICS Exception Description</t>
  </si>
  <si>
    <t>Size Standard in dollars</t>
  </si>
  <si>
    <t>Size standard in number of employees</t>
  </si>
  <si>
    <t>115310</t>
  </si>
  <si>
    <t xml:space="preserve">Support Activities for Forestry  </t>
  </si>
  <si>
    <t>Forest Fire Suppression</t>
  </si>
  <si>
    <t>There are currently 13 NAICS codes with possible size exceptions.  And there are from two to four exceptions  for each of these NAICS codes.  The first 6 digits (1st position) of NAICS EXCEPTIONS is the NAICS code, followed by a ‘Y’, ‘N’ or NULL in each of the next four positions. Note that in this string a NULL value is denoted by a space rather than the word "NULL".  The values of the string are outlined below within the quotation marks.   Breakdown of the string and example below:</t>
  </si>
  <si>
    <t>Fuels Management Services</t>
  </si>
  <si>
    <t>237990</t>
  </si>
  <si>
    <t>Other Heavy and Civil Engineering Construction</t>
  </si>
  <si>
    <t>"… ~115310YN  ~541330NYY ~ …"</t>
  </si>
  <si>
    <t>Dredging and Surface Cleanup Activities</t>
  </si>
  <si>
    <t>238990</t>
  </si>
  <si>
    <t>All Other Specialty Trade Contractors</t>
  </si>
  <si>
    <t>Position1 = NAICS Code == "115310" , "541330"</t>
  </si>
  <si>
    <t>Building and Property Specialty Trade Services</t>
  </si>
  <si>
    <t>Position2 = NAICS Exception 1 == "Y" , "N"</t>
  </si>
  <si>
    <t>488510</t>
  </si>
  <si>
    <t>Freight Transportation Arrangement</t>
  </si>
  <si>
    <t>Position3 = NAICS Exception 1 == "N" , "Y"</t>
  </si>
  <si>
    <t>Non-Vessel Owning Common Carriers and Household Goods Forwarders</t>
  </si>
  <si>
    <t>Position4 = NAICS Exception 1 == NULL " " , "Y"</t>
  </si>
  <si>
    <t xml:space="preserve">Lessors of Residential Buildings and Dwellings </t>
  </si>
  <si>
    <t>Position5 = NAICS Exception 1 == NULL " " , NULL " "</t>
  </si>
  <si>
    <t>Leasing of Residential Buildings and Dwellings to the Federal Government by Owners</t>
  </si>
  <si>
    <t xml:space="preserve">Lessors of Nonresidential Buildings (except Miniwarehouses) </t>
  </si>
  <si>
    <t>How the NAICS Exception String Works:</t>
  </si>
  <si>
    <t>Leasing of Nonresidential Buildings (except Miniwarehouses) to the Federal Government by Owners</t>
  </si>
  <si>
    <t>The NAICS Exception string is utilized when one of the NAICS Codes in the table to the left is used.  When one of these NAICS Codes is present, the NAICS String will have an "E" rather than the normal "Y" or "N" response.  This is to direct the user to look at the NAICS Exception String.  Every NAICS Code that has an exception has betwwen 1 and 4 exceptions, as outlined in the table.
The first exception (1) is always the Y/N answer General Base NAICS Business Size standard.  This is the Y/N answer tha would have been in the NAICS String, had the NAICS not have been an Exception NAICS.  The remaining exceptions are the exceptions for the specific industry sectors.</t>
  </si>
  <si>
    <t xml:space="preserve">Lessors of Miniwarehouses and Self-Storage Units </t>
  </si>
  <si>
    <t>Leasing of Miniwarehouses and Self Storage Units to the Federal Government by Owners</t>
  </si>
  <si>
    <t xml:space="preserve">Lessors of Other Real Estate Property </t>
  </si>
  <si>
    <t>Leasing of Other Real Estate Property to the Federal Government by Owners</t>
  </si>
  <si>
    <t>541330</t>
  </si>
  <si>
    <t>Engineering Services</t>
  </si>
  <si>
    <t>Military and Aerospace Equipment and Military Weapons</t>
  </si>
  <si>
    <t>Contracts and Subcontracts for Engineering Services Awarded Under the National Energy Policy Act of 1992</t>
  </si>
  <si>
    <t>Marine Engineering and Naval Architecture</t>
  </si>
  <si>
    <t>541519</t>
  </si>
  <si>
    <t>Other Computer Related Services</t>
  </si>
  <si>
    <t>Information Technology Value Added Resellers</t>
  </si>
  <si>
    <t>541715</t>
  </si>
  <si>
    <t>Research and Development in the Physical, Engineering, and Life Sciences (except Nanotechnology and Biotechnology)</t>
  </si>
  <si>
    <t>Aircraft, Aircraft Engine and Engine Parts</t>
  </si>
  <si>
    <t>Other Aircraft Parts and Auxiliary Equipment</t>
  </si>
  <si>
    <t>Guided Missiles and Space Vehicles, Their Propulsion Units and Propulsion Parts</t>
  </si>
  <si>
    <t>562910</t>
  </si>
  <si>
    <t>Remediation Services</t>
  </si>
  <si>
    <t>Environmental Remediation Services</t>
  </si>
  <si>
    <t>611519</t>
  </si>
  <si>
    <t>Other Technical and Trade Schools</t>
  </si>
  <si>
    <t>Job Corps Centers</t>
  </si>
  <si>
    <t>NAICS Exceptions ( Effective February 2023)</t>
  </si>
  <si>
    <t xml:space="preserve">General Size Standard for Support Activities for Forestry  </t>
  </si>
  <si>
    <t>Exception for Forest Fire Suppression</t>
  </si>
  <si>
    <t>Exception for Fuels Management Services</t>
  </si>
  <si>
    <t>General Size Standard for Other Heavy and Civil Engineering Construction</t>
  </si>
  <si>
    <t>Exception for Dredging and Surface Cleanup Activities</t>
  </si>
  <si>
    <t>General Size Standard for All Other Speciality Trade Contractors</t>
  </si>
  <si>
    <t>Exception for Building and Property Speciality Trade Services</t>
  </si>
  <si>
    <t>General Size Standard for Freight Transportation Arrangement</t>
  </si>
  <si>
    <t>Exception for Non‑Vessel Owning Common Carriers and Household Goods Forwarders</t>
  </si>
  <si>
    <t>531190</t>
  </si>
  <si>
    <t>General Size Standard for Lessors of Other Real Estate Property</t>
  </si>
  <si>
    <t>Exception for Leasing of Building Space to Federal Government by Owners</t>
  </si>
  <si>
    <t>General Size Standard for Engineering Services</t>
  </si>
  <si>
    <t>Exception for Military and Aerospace Equipment and Military Weapons</t>
  </si>
  <si>
    <t>Exception for Contracts and Subcontracts for Engineering Services Awarded Under the National Energy Policy Act of 1992</t>
  </si>
  <si>
    <t>Exception for Marine Engineering and Naval Architecture</t>
  </si>
  <si>
    <t xml:space="preserve"> </t>
  </si>
  <si>
    <t>General Size Standard for Other Computer Related Services</t>
  </si>
  <si>
    <t>Exception for Information Technology Value Added Resellers</t>
  </si>
  <si>
    <t/>
  </si>
  <si>
    <t xml:space="preserve">General Size Standard for Research and Development in the Physical, Engineering, and Life Sciences (except Biotechnology) </t>
  </si>
  <si>
    <t>Exception for Aircraft Engine and Engine Parts</t>
  </si>
  <si>
    <t>Exception for Other Aircraft Parts and Auxiliary Equipment</t>
  </si>
  <si>
    <t>Exception for Guided Missiles and Space Vehicles, Their Propulsion Units and Propulsion Parts</t>
  </si>
  <si>
    <t>General Size Standard for Remediation Services</t>
  </si>
  <si>
    <t>Exception for Environmental Remediation Services</t>
  </si>
  <si>
    <t>General Size Standard for Other Technical and Trade Schools</t>
  </si>
  <si>
    <t>Exception for Job Corps Centers</t>
  </si>
  <si>
    <t>SBA Business Types String</t>
  </si>
  <si>
    <t>SBA Certification String: Holds X program participation and expiration dates</t>
  </si>
  <si>
    <t xml:space="preserve">A6  </t>
  </si>
  <si>
    <t>SBA Certified 8A Program Participant</t>
  </si>
  <si>
    <t xml:space="preserve">JT  </t>
  </si>
  <si>
    <t>SBA Certified 8A Joint Venture</t>
  </si>
  <si>
    <t>The first 2 positions of SBA Certifications is an SBA Business Code followed by an expiration date</t>
  </si>
  <si>
    <t xml:space="preserve">XX  </t>
  </si>
  <si>
    <t>SBA Certified Hub Zone Firm</t>
  </si>
  <si>
    <t xml:space="preserve"> in YYYYMMDD format.</t>
  </si>
  <si>
    <t>A4*</t>
  </si>
  <si>
    <t>SBA Certified Small Disadvantaged Business (No Longer Active)</t>
  </si>
  <si>
    <t xml:space="preserve">A9 </t>
  </si>
  <si>
    <t>SBA-Certified Women-Owned Small Business</t>
  </si>
  <si>
    <t>A0</t>
  </si>
  <si>
    <t>SBA-Certified Economically Disadvantaged Women-Owned Small Business</t>
  </si>
  <si>
    <t>". . . ~A620110101~XX20110102~. . ."</t>
  </si>
  <si>
    <t xml:space="preserve">Position1 = Business Type Code == "A6" , "XX" </t>
  </si>
  <si>
    <t>Position2 = SBA Cert Expiration Date == "20110101" , "20110102"</t>
  </si>
  <si>
    <t>1 - &lt;entityIdentification&gt;</t>
  </si>
  <si>
    <t>2 - &lt;coreData&gt;</t>
  </si>
  <si>
    <t>3 - &lt;assertions&gt;</t>
  </si>
  <si>
    <t>4 - &lt;repsAndCerts&gt;</t>
  </si>
  <si>
    <t>5 - &lt;pointsOfContact&gt;</t>
  </si>
  <si>
    <t>FLEX FIELD 21</t>
  </si>
  <si>
    <t>FLEX FIELD 22</t>
  </si>
  <si>
    <t>FLEX FIELD 23</t>
  </si>
  <si>
    <t>FLEX FIELD 24</t>
  </si>
  <si>
    <t>Last Updated: 2025-02-13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</si>
</sst>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quot; &quot;;&quot;(&quot;#,##0&quot;)&quot;"/>
    <numFmt numFmtId="165" formatCode="&quot;$&quot;#,##0.00"/>
  </numFmts>
  <fonts count="25" x14ac:knownFonts="1">
    <font>
      <sz val="11"/>
      <color theme="1"/>
      <name val="Calibri"/>
      <scheme val="minor"/>
    </font>
    <font>
      <sz val="11"/>
      <color theme="1"/>
      <name val="Calibri"/>
      <family val="2"/>
      <scheme val="minor"/>
    </font>
    <font>
      <b/>
      <sz val="10"/>
      <color theme="1"/>
      <name val="Arial"/>
    </font>
    <font>
      <i/>
      <sz val="10"/>
      <color theme="1"/>
      <name val="Arial"/>
    </font>
    <font>
      <sz val="10"/>
      <color theme="1"/>
      <name val="Arial"/>
    </font>
    <font>
      <b/>
      <sz val="14"/>
      <color theme="1"/>
      <name val="Arial"/>
    </font>
    <font>
      <sz val="11"/>
      <name val="Calibri"/>
    </font>
    <font>
      <b/>
      <sz val="10"/>
      <color rgb="FFFFFFFF"/>
      <name val="Arial"/>
    </font>
    <font>
      <sz val="10"/>
      <color rgb="FFFF0000"/>
      <name val="Arial"/>
    </font>
    <font>
      <i/>
      <sz val="10"/>
      <color rgb="FFFF0000"/>
      <name val="Arial"/>
    </font>
    <font>
      <b/>
      <sz val="10"/>
      <color rgb="FFFF0000"/>
      <name val="Arial"/>
    </font>
    <font>
      <sz val="11"/>
      <color rgb="FFFF0000"/>
      <name val="Calibri"/>
    </font>
    <font>
      <b/>
      <sz val="24"/>
      <color theme="1"/>
      <name val="Arial"/>
    </font>
    <font>
      <b/>
      <sz val="11"/>
      <color rgb="FFFFFFFF"/>
      <name val="Calibri"/>
    </font>
    <font>
      <sz val="11"/>
      <color theme="1"/>
      <name val="Calibri"/>
    </font>
    <font>
      <b/>
      <sz val="11"/>
      <color theme="0"/>
      <name val="Calibri"/>
    </font>
    <font>
      <sz val="12"/>
      <color theme="1"/>
      <name val="Arial"/>
    </font>
    <font>
      <b/>
      <sz val="12"/>
      <color theme="0"/>
      <name val="Calibri"/>
    </font>
    <font>
      <sz val="12"/>
      <color rgb="FF000000"/>
      <name val="Calibri"/>
    </font>
    <font>
      <sz val="12"/>
      <color theme="1"/>
      <name val="Calibri"/>
    </font>
    <font>
      <b/>
      <sz val="12"/>
      <color rgb="FFFFFFFF"/>
      <name val="Calibri"/>
    </font>
    <font>
      <sz val="8"/>
      <name val="Calibri"/>
      <scheme val="minor"/>
    </font>
    <font>
      <sz val="11"/>
      <color theme="1"/>
      <name val="Calibri"/>
      <family val="2"/>
    </font>
    <font>
      <sz val="10"/>
      <color theme="1"/>
      <name val="Arial"/>
      <family val="2"/>
    </font>
    <font>
      <i/>
      <sz val="10"/>
      <color theme="1"/>
      <name val="Arial"/>
      <family val="2"/>
    </font>
  </fonts>
  <fills count="14">
    <fill>
      <patternFill patternType="none"/>
    </fill>
    <fill>
      <patternFill patternType="gray125"/>
    </fill>
    <fill>
      <patternFill patternType="solid">
        <fgColor rgb="FFFFFF99"/>
        <bgColor rgb="FFFFFF99"/>
      </patternFill>
    </fill>
    <fill>
      <patternFill patternType="solid">
        <fgColor rgb="FFFFCC99"/>
        <bgColor rgb="FFFFCC99"/>
      </patternFill>
    </fill>
    <fill>
      <patternFill patternType="solid">
        <fgColor rgb="FFE5B8B7"/>
        <bgColor rgb="FFE5B8B7"/>
      </patternFill>
    </fill>
    <fill>
      <patternFill patternType="solid">
        <fgColor rgb="FFB8CCE4"/>
        <bgColor rgb="FFB8CCE4"/>
      </patternFill>
    </fill>
    <fill>
      <patternFill patternType="solid">
        <fgColor rgb="FFFF99CC"/>
        <bgColor rgb="FFFF99CC"/>
      </patternFill>
    </fill>
    <fill>
      <patternFill patternType="solid">
        <fgColor rgb="FF000080"/>
        <bgColor rgb="FF000080"/>
      </patternFill>
    </fill>
    <fill>
      <patternFill patternType="solid">
        <fgColor rgb="FF808080"/>
        <bgColor rgb="FF808080"/>
      </patternFill>
    </fill>
    <fill>
      <patternFill patternType="solid">
        <fgColor rgb="FFFFFF00"/>
        <bgColor rgb="FFFFFF00"/>
      </patternFill>
    </fill>
    <fill>
      <patternFill patternType="solid">
        <fgColor theme="0"/>
        <bgColor theme="0"/>
      </patternFill>
    </fill>
    <fill>
      <patternFill patternType="solid">
        <fgColor rgb="FF003366"/>
        <bgColor rgb="FF003366"/>
      </patternFill>
    </fill>
    <fill>
      <patternFill patternType="solid">
        <fgColor rgb="FF000000"/>
        <bgColor rgb="FF000000"/>
      </patternFill>
    </fill>
    <fill>
      <patternFill patternType="solid">
        <fgColor rgb="FFFFC000"/>
        <bgColor rgb="FFFFC000"/>
      </patternFill>
    </fill>
  </fills>
  <borders count="4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top style="thick">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ck">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s>
  <cellStyleXfs count="1">
    <xf numFmtId="0" fontId="0" fillId="0" borderId="0"/>
  </cellStyleXfs>
  <cellXfs count="156">
    <xf numFmtId="0" fontId="0" fillId="0" borderId="0" xfId="0" applyFont="1" applyAlignment="1"/>
    <xf numFmtId="0" fontId="2" fillId="0" borderId="0" xfId="0" applyFont="1" applyAlignment="1">
      <alignment horizontal="left"/>
    </xf>
    <xf numFmtId="0" fontId="3"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0" applyFont="1"/>
    <xf numFmtId="0" fontId="2" fillId="3" borderId="4" xfId="0" applyFont="1" applyFill="1" applyBorder="1" applyAlignment="1">
      <alignment horizontal="center"/>
    </xf>
    <xf numFmtId="0" fontId="2" fillId="4" borderId="4" xfId="0" applyFont="1" applyFill="1" applyBorder="1" applyAlignment="1">
      <alignment horizontal="center" vertical="center"/>
    </xf>
    <xf numFmtId="0" fontId="7" fillId="7" borderId="11" xfId="0" applyFont="1" applyFill="1" applyBorder="1" applyAlignment="1">
      <alignment horizontal="center" vertical="center"/>
    </xf>
    <xf numFmtId="0" fontId="7" fillId="7" borderId="11"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7" fillId="7" borderId="12" xfId="0" applyFont="1" applyFill="1" applyBorder="1" applyAlignment="1">
      <alignment horizontal="center" vertical="center"/>
    </xf>
    <xf numFmtId="0" fontId="7" fillId="8" borderId="13" xfId="0" applyFont="1" applyFill="1" applyBorder="1" applyAlignment="1">
      <alignment horizontal="center" vertical="center" wrapText="1"/>
    </xf>
    <xf numFmtId="0" fontId="7" fillId="8" borderId="14" xfId="0" applyFont="1" applyFill="1" applyBorder="1" applyAlignment="1">
      <alignment horizontal="center" vertical="center" wrapText="1"/>
    </xf>
    <xf numFmtId="0" fontId="7" fillId="8" borderId="15" xfId="0" applyFont="1" applyFill="1" applyBorder="1" applyAlignment="1">
      <alignment horizontal="center" vertical="center" wrapText="1"/>
    </xf>
    <xf numFmtId="0" fontId="7" fillId="8" borderId="16" xfId="0" applyFont="1" applyFill="1" applyBorder="1" applyAlignment="1">
      <alignment horizontal="center" vertical="center" wrapText="1"/>
    </xf>
    <xf numFmtId="0" fontId="4" fillId="0" borderId="17" xfId="0" applyFont="1" applyBorder="1" applyAlignment="1">
      <alignment horizontal="left" vertical="top"/>
    </xf>
    <xf numFmtId="0" fontId="3" fillId="0" borderId="18" xfId="0" applyFont="1" applyBorder="1" applyAlignment="1">
      <alignment horizontal="left" vertical="top"/>
    </xf>
    <xf numFmtId="0" fontId="3" fillId="0" borderId="18" xfId="0" applyFont="1" applyBorder="1" applyAlignment="1">
      <alignment horizontal="left" vertical="top" wrapText="1"/>
    </xf>
    <xf numFmtId="0" fontId="4" fillId="0" borderId="18" xfId="0" applyFont="1" applyBorder="1" applyAlignment="1">
      <alignment horizontal="left" vertical="top"/>
    </xf>
    <xf numFmtId="0" fontId="4" fillId="0" borderId="18" xfId="0" applyFont="1" applyBorder="1" applyAlignment="1">
      <alignment horizontal="left" vertical="top" wrapText="1"/>
    </xf>
    <xf numFmtId="0" fontId="2" fillId="0" borderId="18" xfId="0" applyFont="1" applyBorder="1" applyAlignment="1">
      <alignment horizontal="center" vertical="center"/>
    </xf>
    <xf numFmtId="0" fontId="2" fillId="9" borderId="18" xfId="0" applyFont="1" applyFill="1" applyBorder="1" applyAlignment="1">
      <alignment horizontal="center" vertical="center"/>
    </xf>
    <xf numFmtId="0" fontId="2" fillId="9" borderId="19" xfId="0" applyFont="1" applyFill="1" applyBorder="1" applyAlignment="1">
      <alignment horizontal="center" vertical="center"/>
    </xf>
    <xf numFmtId="0" fontId="8" fillId="0" borderId="20" xfId="0" applyFont="1" applyBorder="1" applyAlignment="1">
      <alignment horizontal="left" vertical="top"/>
    </xf>
    <xf numFmtId="0" fontId="9" fillId="0" borderId="21" xfId="0" applyFont="1" applyBorder="1" applyAlignment="1">
      <alignment horizontal="left" vertical="top"/>
    </xf>
    <xf numFmtId="0" fontId="9" fillId="0" borderId="18" xfId="0" applyFont="1" applyBorder="1" applyAlignment="1">
      <alignment horizontal="left" vertical="top" wrapText="1"/>
    </xf>
    <xf numFmtId="0" fontId="8" fillId="0" borderId="21" xfId="0" applyFont="1" applyBorder="1" applyAlignment="1">
      <alignment horizontal="left" vertical="top"/>
    </xf>
    <xf numFmtId="0" fontId="8" fillId="0" borderId="18" xfId="0" applyFont="1" applyBorder="1" applyAlignment="1">
      <alignment horizontal="left" vertical="top" wrapText="1"/>
    </xf>
    <xf numFmtId="0" fontId="8" fillId="0" borderId="21" xfId="0" applyFont="1" applyBorder="1" applyAlignment="1">
      <alignment horizontal="left" vertical="top" wrapText="1"/>
    </xf>
    <xf numFmtId="49" fontId="8" fillId="0" borderId="21" xfId="0" applyNumberFormat="1" applyFont="1" applyBorder="1" applyAlignment="1">
      <alignment horizontal="left" vertical="top"/>
    </xf>
    <xf numFmtId="0" fontId="10" fillId="0" borderId="21" xfId="0" applyFont="1" applyBorder="1" applyAlignment="1">
      <alignment horizontal="center" vertical="center"/>
    </xf>
    <xf numFmtId="0" fontId="10" fillId="0" borderId="22" xfId="0" applyFont="1" applyBorder="1" applyAlignment="1">
      <alignment horizontal="center" vertical="center"/>
    </xf>
    <xf numFmtId="0" fontId="11" fillId="0" borderId="0" xfId="0" applyFont="1"/>
    <xf numFmtId="0" fontId="2" fillId="0" borderId="19" xfId="0" applyFont="1" applyBorder="1" applyAlignment="1">
      <alignment horizontal="center" vertical="center"/>
    </xf>
    <xf numFmtId="49" fontId="4" fillId="0" borderId="18" xfId="0" applyNumberFormat="1" applyFont="1" applyBorder="1" applyAlignment="1">
      <alignment horizontal="left" vertical="top"/>
    </xf>
    <xf numFmtId="49" fontId="4" fillId="0" borderId="18" xfId="0" applyNumberFormat="1" applyFont="1" applyBorder="1" applyAlignment="1">
      <alignment horizontal="left" vertical="top" wrapText="1"/>
    </xf>
    <xf numFmtId="0" fontId="4" fillId="0" borderId="17" xfId="0" applyFont="1" applyBorder="1" applyAlignment="1">
      <alignment horizontal="left" vertical="top" wrapText="1"/>
    </xf>
    <xf numFmtId="0" fontId="4" fillId="0" borderId="23" xfId="0" applyFont="1" applyBorder="1" applyAlignment="1">
      <alignment horizontal="left" vertical="top"/>
    </xf>
    <xf numFmtId="0" fontId="3" fillId="0" borderId="24" xfId="0" applyFont="1" applyBorder="1" applyAlignment="1">
      <alignment horizontal="left" vertical="top"/>
    </xf>
    <xf numFmtId="0" fontId="3" fillId="0" borderId="24" xfId="0" applyFont="1" applyBorder="1" applyAlignment="1">
      <alignment horizontal="left" vertical="top" wrapText="1"/>
    </xf>
    <xf numFmtId="0" fontId="4" fillId="0" borderId="24" xfId="0" applyFont="1" applyBorder="1" applyAlignment="1">
      <alignment horizontal="left" vertical="top"/>
    </xf>
    <xf numFmtId="0" fontId="4" fillId="0" borderId="24" xfId="0" applyFont="1" applyBorder="1" applyAlignment="1">
      <alignment horizontal="left" vertical="top" wrapText="1"/>
    </xf>
    <xf numFmtId="0" fontId="4" fillId="0" borderId="25" xfId="0" applyFont="1" applyBorder="1" applyAlignment="1">
      <alignment horizontal="left" vertical="top"/>
    </xf>
    <xf numFmtId="0" fontId="2" fillId="0" borderId="24" xfId="0" applyFont="1" applyBorder="1" applyAlignment="1">
      <alignment horizontal="center" vertical="center"/>
    </xf>
    <xf numFmtId="0" fontId="2" fillId="9" borderId="26" xfId="0" applyFont="1" applyFill="1" applyBorder="1" applyAlignment="1">
      <alignment horizontal="center" vertical="center"/>
    </xf>
    <xf numFmtId="0" fontId="2" fillId="9" borderId="27" xfId="0" applyFont="1" applyFill="1" applyBorder="1" applyAlignment="1">
      <alignment horizontal="center" vertical="center"/>
    </xf>
    <xf numFmtId="0" fontId="2" fillId="10" borderId="18" xfId="0" applyFont="1" applyFill="1" applyBorder="1" applyAlignment="1">
      <alignment horizontal="center" vertical="center"/>
    </xf>
    <xf numFmtId="0" fontId="2" fillId="10" borderId="19" xfId="0" applyFont="1" applyFill="1" applyBorder="1" applyAlignment="1">
      <alignment horizontal="center" vertical="center"/>
    </xf>
    <xf numFmtId="1" fontId="4" fillId="0" borderId="18" xfId="0" applyNumberFormat="1" applyFont="1" applyBorder="1" applyAlignment="1">
      <alignment horizontal="left" vertical="top"/>
    </xf>
    <xf numFmtId="0" fontId="8" fillId="0" borderId="18" xfId="0" applyFont="1" applyBorder="1" applyAlignment="1">
      <alignment horizontal="left" vertical="top"/>
    </xf>
    <xf numFmtId="0" fontId="9" fillId="0" borderId="18" xfId="0" applyFont="1" applyBorder="1" applyAlignment="1">
      <alignment horizontal="left" vertical="top"/>
    </xf>
    <xf numFmtId="49" fontId="8" fillId="0" borderId="18" xfId="0" applyNumberFormat="1" applyFont="1" applyBorder="1" applyAlignment="1">
      <alignment horizontal="left" vertical="top"/>
    </xf>
    <xf numFmtId="0" fontId="8" fillId="0" borderId="17" xfId="0" applyFont="1" applyBorder="1" applyAlignment="1">
      <alignment horizontal="left" vertical="top"/>
    </xf>
    <xf numFmtId="0" fontId="2" fillId="0" borderId="28" xfId="0" applyFont="1" applyBorder="1" applyAlignment="1">
      <alignment horizontal="center" vertical="center"/>
    </xf>
    <xf numFmtId="0" fontId="4" fillId="0" borderId="29" xfId="0" applyFont="1" applyBorder="1" applyAlignment="1">
      <alignment horizontal="left" vertical="top"/>
    </xf>
    <xf numFmtId="0" fontId="4" fillId="0" borderId="30" xfId="0" applyFont="1" applyBorder="1" applyAlignment="1">
      <alignment horizontal="left" vertical="top"/>
    </xf>
    <xf numFmtId="0" fontId="3" fillId="0" borderId="31" xfId="0" applyFont="1" applyBorder="1" applyAlignment="1">
      <alignment horizontal="left" vertical="top"/>
    </xf>
    <xf numFmtId="0" fontId="3" fillId="0" borderId="31" xfId="0" applyFont="1" applyBorder="1" applyAlignment="1">
      <alignment horizontal="left" vertical="top" wrapText="1"/>
    </xf>
    <xf numFmtId="0" fontId="4" fillId="0" borderId="31" xfId="0" applyFont="1" applyBorder="1" applyAlignment="1">
      <alignment horizontal="left" vertical="top"/>
    </xf>
    <xf numFmtId="0" fontId="4" fillId="0" borderId="31" xfId="0" applyFont="1" applyBorder="1" applyAlignment="1">
      <alignment horizontal="left" vertical="top" wrapText="1"/>
    </xf>
    <xf numFmtId="49" fontId="4" fillId="0" borderId="31" xfId="0" applyNumberFormat="1" applyFont="1" applyBorder="1" applyAlignment="1">
      <alignment horizontal="left" vertical="top"/>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0" xfId="0" applyFont="1" applyAlignment="1">
      <alignment horizontal="left" vertical="top"/>
    </xf>
    <xf numFmtId="0" fontId="12" fillId="0" borderId="0" xfId="0" applyFont="1"/>
    <xf numFmtId="0" fontId="13" fillId="11" borderId="33" xfId="0" applyFont="1" applyFill="1" applyBorder="1" applyAlignment="1">
      <alignment horizontal="center" vertical="center" wrapText="1"/>
    </xf>
    <xf numFmtId="0" fontId="13" fillId="11" borderId="34" xfId="0" applyFont="1" applyFill="1" applyBorder="1" applyAlignment="1">
      <alignment horizontal="center" vertical="center" wrapText="1"/>
    </xf>
    <xf numFmtId="0" fontId="13" fillId="11" borderId="35" xfId="0" applyFont="1" applyFill="1" applyBorder="1" applyAlignment="1">
      <alignment horizontal="center" vertical="center" wrapText="1"/>
    </xf>
    <xf numFmtId="0" fontId="14" fillId="0" borderId="36" xfId="0" applyFont="1" applyBorder="1" applyAlignment="1">
      <alignment wrapText="1"/>
    </xf>
    <xf numFmtId="0" fontId="14" fillId="0" borderId="17" xfId="0" applyFont="1" applyBorder="1" applyAlignment="1">
      <alignment wrapText="1"/>
    </xf>
    <xf numFmtId="0" fontId="14" fillId="0" borderId="18" xfId="0" applyFont="1" applyBorder="1" applyAlignment="1">
      <alignment wrapText="1"/>
    </xf>
    <xf numFmtId="0" fontId="14" fillId="0" borderId="19" xfId="0" applyFont="1" applyBorder="1" applyAlignment="1">
      <alignment wrapText="1"/>
    </xf>
    <xf numFmtId="0" fontId="14" fillId="0" borderId="30" xfId="0" applyFont="1" applyBorder="1" applyAlignment="1">
      <alignment wrapText="1"/>
    </xf>
    <xf numFmtId="0" fontId="14" fillId="0" borderId="31" xfId="0" applyFont="1" applyBorder="1" applyAlignment="1">
      <alignment wrapText="1"/>
    </xf>
    <xf numFmtId="0" fontId="14" fillId="0" borderId="32" xfId="0" applyFont="1" applyBorder="1" applyAlignment="1">
      <alignment wrapText="1"/>
    </xf>
    <xf numFmtId="0" fontId="7" fillId="11" borderId="33" xfId="0" applyFont="1" applyFill="1" applyBorder="1" applyAlignment="1">
      <alignment horizontal="center" vertical="center" wrapText="1"/>
    </xf>
    <xf numFmtId="0" fontId="7" fillId="11" borderId="35" xfId="0" applyFont="1" applyFill="1" applyBorder="1" applyAlignment="1">
      <alignment horizontal="center" vertical="center" wrapText="1"/>
    </xf>
    <xf numFmtId="0" fontId="4" fillId="0" borderId="36" xfId="0" applyFont="1" applyBorder="1" applyAlignment="1">
      <alignment vertical="top" wrapText="1"/>
    </xf>
    <xf numFmtId="0" fontId="4" fillId="0" borderId="41" xfId="0" applyFont="1" applyBorder="1" applyAlignment="1">
      <alignment vertical="top" wrapText="1"/>
    </xf>
    <xf numFmtId="0" fontId="4" fillId="0" borderId="17" xfId="0" applyFont="1" applyBorder="1" applyAlignment="1">
      <alignment vertical="top" wrapText="1"/>
    </xf>
    <xf numFmtId="0" fontId="4" fillId="0" borderId="19" xfId="0" applyFont="1" applyBorder="1" applyAlignment="1">
      <alignment vertical="top" wrapText="1"/>
    </xf>
    <xf numFmtId="0" fontId="4" fillId="0" borderId="30" xfId="0" applyFont="1" applyBorder="1" applyAlignment="1">
      <alignment vertical="top" wrapText="1"/>
    </xf>
    <xf numFmtId="0" fontId="4" fillId="0" borderId="32" xfId="0" applyFont="1" applyBorder="1" applyAlignment="1">
      <alignment vertical="top" wrapText="1"/>
    </xf>
    <xf numFmtId="0" fontId="15" fillId="12" borderId="33" xfId="0" applyFont="1" applyFill="1" applyBorder="1" applyAlignment="1">
      <alignment horizontal="center" vertical="center" wrapText="1"/>
    </xf>
    <xf numFmtId="0" fontId="15" fillId="12" borderId="35" xfId="0" applyFont="1" applyFill="1" applyBorder="1" applyAlignment="1">
      <alignment horizontal="center" vertical="center" wrapText="1"/>
    </xf>
    <xf numFmtId="0" fontId="14" fillId="0" borderId="41" xfId="0" applyFont="1" applyBorder="1" applyAlignment="1">
      <alignment wrapText="1"/>
    </xf>
    <xf numFmtId="0" fontId="14" fillId="0" borderId="25" xfId="0" applyFont="1" applyBorder="1" applyAlignment="1">
      <alignment wrapText="1"/>
    </xf>
    <xf numFmtId="0" fontId="14" fillId="0" borderId="28" xfId="0" applyFont="1" applyBorder="1" applyAlignment="1">
      <alignment wrapText="1"/>
    </xf>
    <xf numFmtId="49" fontId="14" fillId="0" borderId="25" xfId="0" applyNumberFormat="1" applyFont="1" applyBorder="1" applyAlignment="1">
      <alignment wrapText="1"/>
    </xf>
    <xf numFmtId="0" fontId="14" fillId="0" borderId="0" xfId="0" applyFont="1"/>
    <xf numFmtId="0" fontId="14" fillId="13" borderId="17" xfId="0" applyFont="1" applyFill="1" applyBorder="1" applyAlignment="1">
      <alignment vertical="top" wrapText="1"/>
    </xf>
    <xf numFmtId="0" fontId="14" fillId="13" borderId="19" xfId="0" applyFont="1" applyFill="1" applyBorder="1" applyAlignment="1">
      <alignment vertical="top" wrapText="1"/>
    </xf>
    <xf numFmtId="0" fontId="14" fillId="13" borderId="30" xfId="0" applyFont="1" applyFill="1" applyBorder="1" applyAlignment="1">
      <alignment vertical="top" wrapText="1"/>
    </xf>
    <xf numFmtId="0" fontId="14" fillId="13" borderId="32" xfId="0" applyFont="1" applyFill="1" applyBorder="1" applyAlignment="1">
      <alignment vertical="top" wrapText="1"/>
    </xf>
    <xf numFmtId="49" fontId="12" fillId="0" borderId="0" xfId="0" applyNumberFormat="1" applyFont="1"/>
    <xf numFmtId="0" fontId="16" fillId="0" borderId="0" xfId="0" applyFont="1"/>
    <xf numFmtId="49" fontId="4" fillId="0" borderId="0" xfId="0" applyNumberFormat="1" applyFont="1"/>
    <xf numFmtId="49" fontId="17" fillId="12" borderId="33" xfId="0" applyNumberFormat="1" applyFont="1" applyFill="1" applyBorder="1" applyAlignment="1">
      <alignment horizontal="center" vertical="center" wrapText="1"/>
    </xf>
    <xf numFmtId="0" fontId="17" fillId="12" borderId="34" xfId="0" applyFont="1" applyFill="1" applyBorder="1" applyAlignment="1">
      <alignment horizontal="center" vertical="center" wrapText="1"/>
    </xf>
    <xf numFmtId="0" fontId="17" fillId="12" borderId="42" xfId="0" applyFont="1" applyFill="1" applyBorder="1" applyAlignment="1">
      <alignment horizontal="center" vertical="center" wrapText="1"/>
    </xf>
    <xf numFmtId="0" fontId="17" fillId="12" borderId="43" xfId="0" applyFont="1" applyFill="1" applyBorder="1" applyAlignment="1">
      <alignment horizontal="center" vertical="center" wrapText="1"/>
    </xf>
    <xf numFmtId="49" fontId="18" fillId="0" borderId="36" xfId="0" applyNumberFormat="1" applyFont="1" applyBorder="1" applyAlignment="1">
      <alignment horizontal="left" vertical="top" wrapText="1"/>
    </xf>
    <xf numFmtId="0" fontId="18" fillId="0" borderId="44" xfId="0" applyFont="1" applyBorder="1" applyAlignment="1">
      <alignment horizontal="left" vertical="top" wrapText="1"/>
    </xf>
    <xf numFmtId="44" fontId="19" fillId="0" borderId="18" xfId="0" applyNumberFormat="1" applyFont="1" applyBorder="1"/>
    <xf numFmtId="164" fontId="18" fillId="0" borderId="18" xfId="0" applyNumberFormat="1" applyFont="1" applyBorder="1" applyAlignment="1">
      <alignment horizontal="right" vertical="top" wrapText="1"/>
    </xf>
    <xf numFmtId="49" fontId="18" fillId="0" borderId="17" xfId="0" applyNumberFormat="1" applyFont="1" applyBorder="1" applyAlignment="1">
      <alignment horizontal="left" vertical="top" wrapText="1"/>
    </xf>
    <xf numFmtId="0" fontId="18" fillId="0" borderId="18" xfId="0" applyFont="1" applyBorder="1" applyAlignment="1">
      <alignment horizontal="left" vertical="top" wrapText="1"/>
    </xf>
    <xf numFmtId="0" fontId="4" fillId="0" borderId="0" xfId="0" applyFont="1" applyAlignment="1">
      <alignment wrapText="1"/>
    </xf>
    <xf numFmtId="0" fontId="2" fillId="0" borderId="0" xfId="0" applyFont="1"/>
    <xf numFmtId="165" fontId="18" fillId="0" borderId="18" xfId="0" applyNumberFormat="1" applyFont="1" applyBorder="1" applyAlignment="1">
      <alignment horizontal="right" vertical="top" wrapText="1"/>
    </xf>
    <xf numFmtId="164" fontId="18" fillId="0" borderId="18" xfId="0" applyNumberFormat="1" applyFont="1" applyBorder="1" applyAlignment="1">
      <alignment horizontal="right" vertical="top" wrapText="1"/>
    </xf>
    <xf numFmtId="0" fontId="19" fillId="0" borderId="18" xfId="0" applyFont="1" applyBorder="1"/>
    <xf numFmtId="0" fontId="19" fillId="0" borderId="18" xfId="0" applyFont="1" applyBorder="1" applyAlignment="1"/>
    <xf numFmtId="49" fontId="18" fillId="0" borderId="30" xfId="0" applyNumberFormat="1" applyFont="1" applyBorder="1" applyAlignment="1">
      <alignment horizontal="left" vertical="top" wrapText="1"/>
    </xf>
    <xf numFmtId="0" fontId="18" fillId="0" borderId="31" xfId="0" applyFont="1" applyBorder="1" applyAlignment="1">
      <alignment horizontal="left" vertical="top" wrapText="1"/>
    </xf>
    <xf numFmtId="0" fontId="20" fillId="11" borderId="33" xfId="0" applyFont="1" applyFill="1" applyBorder="1" applyAlignment="1">
      <alignment horizontal="center" vertical="center" wrapText="1"/>
    </xf>
    <xf numFmtId="0" fontId="20" fillId="11" borderId="34" xfId="0" applyFont="1" applyFill="1" applyBorder="1" applyAlignment="1">
      <alignment horizontal="center" vertical="center" wrapText="1"/>
    </xf>
    <xf numFmtId="0" fontId="20" fillId="11" borderId="42" xfId="0" applyFont="1" applyFill="1" applyBorder="1" applyAlignment="1">
      <alignment horizontal="center" vertical="center" wrapText="1"/>
    </xf>
    <xf numFmtId="0" fontId="20" fillId="11" borderId="43" xfId="0" applyFont="1" applyFill="1" applyBorder="1" applyAlignment="1">
      <alignment horizontal="center" vertical="center" wrapText="1"/>
    </xf>
    <xf numFmtId="0" fontId="18" fillId="0" borderId="36" xfId="0" applyFont="1" applyBorder="1" applyAlignment="1">
      <alignment horizontal="left" vertical="top" wrapText="1"/>
    </xf>
    <xf numFmtId="0" fontId="18" fillId="0" borderId="17" xfId="0" applyFont="1" applyBorder="1" applyAlignment="1">
      <alignment horizontal="left" vertical="top" wrapText="1"/>
    </xf>
    <xf numFmtId="0" fontId="18" fillId="0" borderId="30" xfId="0" applyFont="1" applyBorder="1" applyAlignment="1">
      <alignment horizontal="left" vertical="top" wrapText="1"/>
    </xf>
    <xf numFmtId="0" fontId="4" fillId="0" borderId="19" xfId="0" applyFont="1" applyBorder="1" applyAlignment="1">
      <alignment horizontal="left" vertical="top" wrapText="1"/>
    </xf>
    <xf numFmtId="0" fontId="4" fillId="0" borderId="25" xfId="0" applyFont="1" applyBorder="1" applyAlignment="1">
      <alignment horizontal="left" vertical="top" wrapText="1"/>
    </xf>
    <xf numFmtId="0" fontId="4" fillId="0" borderId="28" xfId="0" applyFont="1" applyBorder="1" applyAlignment="1">
      <alignment horizontal="left" vertical="top" wrapText="1"/>
    </xf>
    <xf numFmtId="0" fontId="4" fillId="0" borderId="18" xfId="0" applyFont="1" applyBorder="1" applyAlignment="1"/>
    <xf numFmtId="0" fontId="4" fillId="0" borderId="18" xfId="0" applyFont="1" applyBorder="1" applyAlignment="1">
      <alignment wrapText="1"/>
    </xf>
    <xf numFmtId="0" fontId="4" fillId="0" borderId="18" xfId="0" applyFont="1" applyBorder="1" applyAlignment="1">
      <alignment wrapText="1"/>
    </xf>
    <xf numFmtId="0" fontId="0" fillId="0" borderId="0" xfId="0" applyFont="1" applyAlignment="1"/>
    <xf numFmtId="0" fontId="3" fillId="0" borderId="26" xfId="0" applyFont="1" applyBorder="1" applyAlignment="1">
      <alignment horizontal="left" vertical="top"/>
    </xf>
    <xf numFmtId="0" fontId="2" fillId="0" borderId="26" xfId="0" applyFont="1" applyBorder="1" applyAlignment="1">
      <alignment horizontal="center" vertical="center"/>
    </xf>
    <xf numFmtId="0" fontId="5" fillId="2" borderId="1" xfId="0" applyFont="1" applyFill="1" applyBorder="1" applyAlignment="1">
      <alignment horizontal="center"/>
    </xf>
    <xf numFmtId="0" fontId="6" fillId="0" borderId="2" xfId="0" applyFont="1" applyBorder="1"/>
    <xf numFmtId="0" fontId="6" fillId="0" borderId="3" xfId="0" applyFont="1" applyBorder="1"/>
    <xf numFmtId="0" fontId="2" fillId="5" borderId="5" xfId="0" applyFont="1" applyFill="1" applyBorder="1" applyAlignment="1">
      <alignment horizontal="center"/>
    </xf>
    <xf numFmtId="0" fontId="6" fillId="0" borderId="6" xfId="0" applyFont="1" applyBorder="1"/>
    <xf numFmtId="0" fontId="6" fillId="0" borderId="7" xfId="0" applyFont="1" applyBorder="1"/>
    <xf numFmtId="0" fontId="2" fillId="6" borderId="8" xfId="0" applyFont="1" applyFill="1" applyBorder="1" applyAlignment="1">
      <alignment horizontal="center" wrapText="1"/>
    </xf>
    <xf numFmtId="0" fontId="6" fillId="0" borderId="9" xfId="0" applyFont="1" applyBorder="1"/>
    <xf numFmtId="0" fontId="6" fillId="0" borderId="10" xfId="0" applyFont="1" applyBorder="1"/>
    <xf numFmtId="0" fontId="4" fillId="0" borderId="0" xfId="0" applyFont="1" applyAlignment="1">
      <alignment horizontal="left" vertical="top" wrapText="1"/>
    </xf>
    <xf numFmtId="0" fontId="0" fillId="0" borderId="0" xfId="0" applyFont="1" applyAlignment="1"/>
    <xf numFmtId="0" fontId="14" fillId="0" borderId="37" xfId="0" applyFont="1" applyBorder="1" applyAlignment="1">
      <alignment horizontal="left" wrapText="1"/>
    </xf>
    <xf numFmtId="0" fontId="6" fillId="0" borderId="38" xfId="0" applyFont="1" applyBorder="1"/>
    <xf numFmtId="0" fontId="14" fillId="0" borderId="39" xfId="0" applyFont="1" applyBorder="1" applyAlignment="1">
      <alignment horizontal="left" wrapText="1"/>
    </xf>
    <xf numFmtId="0" fontId="6" fillId="0" borderId="40" xfId="0" applyFont="1" applyBorder="1"/>
    <xf numFmtId="0" fontId="23" fillId="0" borderId="17" xfId="0" applyFont="1" applyBorder="1" applyAlignment="1">
      <alignment horizontal="left" vertical="top"/>
    </xf>
    <xf numFmtId="0" fontId="24" fillId="0" borderId="18" xfId="0" applyFont="1" applyBorder="1" applyAlignment="1">
      <alignment horizontal="left" vertical="top"/>
    </xf>
    <xf numFmtId="0" fontId="24" fillId="0" borderId="18" xfId="0" applyFont="1" applyBorder="1" applyAlignment="1">
      <alignment horizontal="left" vertical="top" wrapText="1"/>
    </xf>
    <xf numFmtId="0" fontId="23" fillId="0" borderId="18" xfId="0" applyFont="1" applyBorder="1" applyAlignment="1">
      <alignment horizontal="left" vertical="top"/>
    </xf>
    <xf numFmtId="0" fontId="23" fillId="0" borderId="18" xfId="0" applyFont="1" applyBorder="1" applyAlignment="1">
      <alignment horizontal="left" vertical="top" wrapText="1"/>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2" fillId="0" borderId="0" xfId="0" applyFont="1"/>
    <xf numFmtId="0" fontId="1" fillId="0" borderId="0" xfId="0" applyFont="1" applyAlignment="1"/>
  </cellXfs>
  <cellStyles count="1">
    <cellStyle name="Normal" xfId="0" builtinId="0"/>
  </cellStyles>
  <dxfs count="2">
    <dxf>
      <font>
        <b/>
      </font>
      <fill>
        <patternFill patternType="solid">
          <fgColor rgb="FF95B3D7"/>
          <bgColor rgb="FF95B3D7"/>
        </patternFill>
      </fill>
    </dxf>
    <dxf>
      <font>
        <b/>
      </font>
      <fill>
        <patternFill patternType="solid">
          <fgColor rgb="FF95B3D7"/>
          <bgColor rgb="FF95B3D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arciREaton\Downloads\SAM_MASTER_EXTRACT_MAPPING_202309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Element Mapping"/>
      <sheetName val="Drop Down List"/>
    </sheetNames>
    <sheetDataSet>
      <sheetData sheetId="0"/>
      <sheetData sheetId="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80"/>
  </sheetPr>
  <dimension ref="A1:Z1004"/>
  <sheetViews>
    <sheetView tabSelected="1" workbookViewId="0">
      <pane xSplit="1" ySplit="4" topLeftCell="B5" activePane="bottomRight" state="frozen"/>
      <selection pane="topRight" activeCell="B1" sqref="B1"/>
      <selection pane="bottomLeft" activeCell="A5" sqref="A5"/>
      <selection pane="bottomRight" activeCell="E247" sqref="E247"/>
    </sheetView>
  </sheetViews>
  <sheetFormatPr defaultColWidth="14.41796875" defaultRowHeight="15" customHeight="1" x14ac:dyDescent="0.55000000000000004"/>
  <cols>
    <col min="1" max="1" width="65.15625" customWidth="1"/>
    <col min="2" max="2" width="23" hidden="1" customWidth="1"/>
    <col min="3" max="3" width="11.41796875" customWidth="1"/>
    <col min="4" max="4" width="25.15625" customWidth="1"/>
    <col min="5" max="5" width="8.15625" customWidth="1"/>
    <col min="6" max="6" width="53" customWidth="1"/>
    <col min="7" max="7" width="22.15625" customWidth="1"/>
    <col min="8" max="8" width="31.41796875" customWidth="1"/>
    <col min="9" max="9" width="23.26171875" customWidth="1"/>
    <col min="10" max="10" width="50.83984375" customWidth="1"/>
    <col min="11" max="12" width="11.578125" customWidth="1"/>
    <col min="13" max="14" width="9.41796875" customWidth="1"/>
    <col min="15" max="15" width="10.41796875" customWidth="1"/>
    <col min="16" max="26" width="9.15625" customWidth="1"/>
  </cols>
  <sheetData>
    <row r="1" spans="1:26" ht="14.25" customHeight="1" x14ac:dyDescent="0.55000000000000004">
      <c r="A1" s="1"/>
      <c r="B1" s="2"/>
      <c r="C1" s="2"/>
      <c r="D1" s="2"/>
      <c r="E1" s="3"/>
      <c r="F1" s="3"/>
      <c r="G1" s="3"/>
      <c r="H1" s="4"/>
      <c r="I1" s="4"/>
      <c r="J1" s="3"/>
      <c r="K1" s="5"/>
      <c r="L1" s="5"/>
      <c r="M1" s="5"/>
      <c r="N1" s="5"/>
      <c r="O1" s="5"/>
    </row>
    <row r="2" spans="1:26" ht="14.25" customHeight="1" x14ac:dyDescent="0.6">
      <c r="A2" s="132" t="s">
        <v>0</v>
      </c>
      <c r="B2" s="133"/>
      <c r="C2" s="133"/>
      <c r="D2" s="133"/>
      <c r="E2" s="133"/>
      <c r="F2" s="133"/>
      <c r="G2" s="133"/>
      <c r="H2" s="133"/>
      <c r="I2" s="133"/>
      <c r="J2" s="133"/>
      <c r="K2" s="133"/>
      <c r="L2" s="133"/>
      <c r="M2" s="133"/>
      <c r="N2" s="133"/>
      <c r="O2" s="134"/>
    </row>
    <row r="3" spans="1:26" ht="16.5" customHeight="1" x14ac:dyDescent="0.55000000000000004">
      <c r="A3" s="6" t="s">
        <v>1</v>
      </c>
      <c r="B3" s="7" t="s">
        <v>2</v>
      </c>
      <c r="C3" s="135" t="s">
        <v>3</v>
      </c>
      <c r="D3" s="136"/>
      <c r="E3" s="136"/>
      <c r="F3" s="136"/>
      <c r="G3" s="136"/>
      <c r="H3" s="136"/>
      <c r="I3" s="136"/>
      <c r="J3" s="137"/>
      <c r="K3" s="138" t="s">
        <v>4</v>
      </c>
      <c r="L3" s="139"/>
      <c r="M3" s="139"/>
      <c r="N3" s="139"/>
      <c r="O3" s="140"/>
    </row>
    <row r="4" spans="1:26" ht="21.75" customHeight="1" x14ac:dyDescent="0.55000000000000004">
      <c r="A4" s="8" t="s">
        <v>5</v>
      </c>
      <c r="B4" s="9" t="s">
        <v>6</v>
      </c>
      <c r="C4" s="8" t="s">
        <v>7</v>
      </c>
      <c r="D4" s="8" t="s">
        <v>8</v>
      </c>
      <c r="E4" s="9" t="s">
        <v>9</v>
      </c>
      <c r="F4" s="10" t="s">
        <v>10</v>
      </c>
      <c r="G4" s="11" t="s">
        <v>11</v>
      </c>
      <c r="H4" s="10" t="s">
        <v>12</v>
      </c>
      <c r="I4" s="10" t="s">
        <v>13</v>
      </c>
      <c r="J4" s="11" t="s">
        <v>14</v>
      </c>
      <c r="K4" s="12" t="s">
        <v>15</v>
      </c>
      <c r="L4" s="13" t="s">
        <v>15</v>
      </c>
      <c r="M4" s="12" t="s">
        <v>16</v>
      </c>
      <c r="N4" s="14" t="s">
        <v>17</v>
      </c>
      <c r="O4" s="15" t="s">
        <v>18</v>
      </c>
    </row>
    <row r="5" spans="1:26" ht="14.25" customHeight="1" x14ac:dyDescent="0.55000000000000004">
      <c r="A5" s="16" t="s">
        <v>19</v>
      </c>
      <c r="B5" s="17">
        <v>1</v>
      </c>
      <c r="C5" s="17" t="s">
        <v>20</v>
      </c>
      <c r="D5" s="17" t="s">
        <v>21</v>
      </c>
      <c r="E5" s="17">
        <v>12</v>
      </c>
      <c r="F5" s="18" t="s">
        <v>22</v>
      </c>
      <c r="G5" s="19"/>
      <c r="H5" s="20" t="s">
        <v>23</v>
      </c>
      <c r="I5" s="20"/>
      <c r="J5" s="19" t="s">
        <v>24</v>
      </c>
      <c r="K5" s="16" t="s">
        <v>16</v>
      </c>
      <c r="L5" s="19">
        <f>IF(K5="Public",1,IF(K5="FOUO (CUI)",2,IF(K5="Sensitive (CUI)",3,IF(K5="System-Only",4))))</f>
        <v>1</v>
      </c>
      <c r="M5" s="21" t="str">
        <f t="shared" ref="M5:M259" si="0">IF(L5&lt;=1,"X","")</f>
        <v>X</v>
      </c>
      <c r="N5" s="22" t="str">
        <f t="shared" ref="N5:N259" si="1">IF(L5&lt;=2,"X","")</f>
        <v>X</v>
      </c>
      <c r="O5" s="23" t="str">
        <f t="shared" ref="O5:O259" si="2">IF(L5&lt;=3,"X","")</f>
        <v>X</v>
      </c>
    </row>
    <row r="6" spans="1:26" ht="14.25" customHeight="1" x14ac:dyDescent="0.55000000000000004">
      <c r="A6" s="24" t="s">
        <v>25</v>
      </c>
      <c r="B6" s="25">
        <v>2</v>
      </c>
      <c r="C6" s="25" t="s">
        <v>20</v>
      </c>
      <c r="D6" s="25" t="s">
        <v>20</v>
      </c>
      <c r="E6" s="25">
        <v>0</v>
      </c>
      <c r="F6" s="26" t="s">
        <v>26</v>
      </c>
      <c r="G6" s="27"/>
      <c r="H6" s="28"/>
      <c r="I6" s="29"/>
      <c r="J6" s="30" t="s">
        <v>27</v>
      </c>
      <c r="K6" s="24" t="s">
        <v>16</v>
      </c>
      <c r="L6" s="27">
        <v>1</v>
      </c>
      <c r="M6" s="31" t="str">
        <f t="shared" si="0"/>
        <v>X</v>
      </c>
      <c r="N6" s="31" t="str">
        <f t="shared" si="1"/>
        <v>X</v>
      </c>
      <c r="O6" s="32" t="str">
        <f t="shared" si="2"/>
        <v>X</v>
      </c>
      <c r="P6" s="33"/>
      <c r="Q6" s="33"/>
      <c r="R6" s="33"/>
      <c r="S6" s="33"/>
      <c r="T6" s="33"/>
      <c r="U6" s="33"/>
      <c r="V6" s="33"/>
      <c r="W6" s="33"/>
      <c r="X6" s="33"/>
      <c r="Y6" s="33"/>
      <c r="Z6" s="33"/>
    </row>
    <row r="7" spans="1:26" ht="14.25" customHeight="1" x14ac:dyDescent="0.55000000000000004">
      <c r="A7" s="16" t="s">
        <v>28</v>
      </c>
      <c r="B7" s="17">
        <v>3</v>
      </c>
      <c r="C7" s="17" t="s">
        <v>20</v>
      </c>
      <c r="D7" s="17" t="s">
        <v>20</v>
      </c>
      <c r="E7" s="17">
        <v>4</v>
      </c>
      <c r="F7" s="18" t="s">
        <v>29</v>
      </c>
      <c r="G7" s="19"/>
      <c r="H7" s="20" t="s">
        <v>30</v>
      </c>
      <c r="I7" s="20" t="s">
        <v>31</v>
      </c>
      <c r="J7" s="19">
        <v>1111</v>
      </c>
      <c r="K7" s="16" t="s">
        <v>16</v>
      </c>
      <c r="L7" s="19">
        <v>1</v>
      </c>
      <c r="M7" s="21" t="str">
        <f t="shared" si="0"/>
        <v>X</v>
      </c>
      <c r="N7" s="21" t="str">
        <f t="shared" si="1"/>
        <v>X</v>
      </c>
      <c r="O7" s="34" t="str">
        <f t="shared" si="2"/>
        <v>X</v>
      </c>
    </row>
    <row r="8" spans="1:26" ht="14.25" customHeight="1" x14ac:dyDescent="0.55000000000000004">
      <c r="A8" s="16" t="s">
        <v>32</v>
      </c>
      <c r="B8" s="17">
        <v>4</v>
      </c>
      <c r="C8" s="17" t="s">
        <v>20</v>
      </c>
      <c r="D8" s="17" t="s">
        <v>20</v>
      </c>
      <c r="E8" s="17">
        <v>5</v>
      </c>
      <c r="F8" s="18" t="s">
        <v>29</v>
      </c>
      <c r="G8" s="19"/>
      <c r="H8" s="20" t="s">
        <v>33</v>
      </c>
      <c r="I8" s="20"/>
      <c r="J8" s="19" t="s">
        <v>34</v>
      </c>
      <c r="K8" s="16" t="s">
        <v>16</v>
      </c>
      <c r="L8" s="19">
        <v>1</v>
      </c>
      <c r="M8" s="21" t="str">
        <f t="shared" si="0"/>
        <v>X</v>
      </c>
      <c r="N8" s="21" t="str">
        <f t="shared" si="1"/>
        <v>X</v>
      </c>
      <c r="O8" s="34" t="str">
        <f t="shared" si="2"/>
        <v>X</v>
      </c>
    </row>
    <row r="9" spans="1:26" ht="14.25" customHeight="1" x14ac:dyDescent="0.55000000000000004">
      <c r="A9" s="16" t="s">
        <v>35</v>
      </c>
      <c r="B9" s="17">
        <v>5</v>
      </c>
      <c r="C9" s="17" t="s">
        <v>20</v>
      </c>
      <c r="D9" s="17" t="s">
        <v>20</v>
      </c>
      <c r="E9" s="17">
        <v>9</v>
      </c>
      <c r="F9" s="18" t="s">
        <v>29</v>
      </c>
      <c r="G9" s="19"/>
      <c r="H9" s="20" t="s">
        <v>36</v>
      </c>
      <c r="I9" s="20" t="s">
        <v>37</v>
      </c>
      <c r="J9" s="19" t="s">
        <v>38</v>
      </c>
      <c r="K9" s="16" t="s">
        <v>16</v>
      </c>
      <c r="L9" s="19">
        <v>1</v>
      </c>
      <c r="M9" s="21" t="str">
        <f t="shared" si="0"/>
        <v>X</v>
      </c>
      <c r="N9" s="21" t="str">
        <f t="shared" si="1"/>
        <v>X</v>
      </c>
      <c r="O9" s="34" t="str">
        <f t="shared" si="2"/>
        <v>X</v>
      </c>
    </row>
    <row r="10" spans="1:26" ht="162" customHeight="1" x14ac:dyDescent="0.55000000000000004">
      <c r="A10" s="16" t="s">
        <v>39</v>
      </c>
      <c r="B10" s="17">
        <v>6</v>
      </c>
      <c r="C10" s="17" t="s">
        <v>20</v>
      </c>
      <c r="D10" s="17" t="s">
        <v>20</v>
      </c>
      <c r="E10" s="17">
        <v>1</v>
      </c>
      <c r="F10" s="18" t="s">
        <v>40</v>
      </c>
      <c r="G10" s="20" t="s">
        <v>41</v>
      </c>
      <c r="H10" s="20" t="s">
        <v>12</v>
      </c>
      <c r="I10" s="20"/>
      <c r="J10" s="35" t="s">
        <v>42</v>
      </c>
      <c r="K10" s="16" t="s">
        <v>16</v>
      </c>
      <c r="L10" s="19">
        <v>1</v>
      </c>
      <c r="M10" s="21" t="str">
        <f t="shared" si="0"/>
        <v>X</v>
      </c>
      <c r="N10" s="21" t="str">
        <f t="shared" si="1"/>
        <v>X</v>
      </c>
      <c r="O10" s="34" t="str">
        <f t="shared" si="2"/>
        <v>X</v>
      </c>
    </row>
    <row r="11" spans="1:26" ht="67.5" customHeight="1" x14ac:dyDescent="0.55000000000000004">
      <c r="A11" s="16" t="s">
        <v>43</v>
      </c>
      <c r="B11" s="17">
        <v>7</v>
      </c>
      <c r="C11" s="17" t="s">
        <v>20</v>
      </c>
      <c r="D11" s="17" t="s">
        <v>20</v>
      </c>
      <c r="E11" s="17">
        <v>2</v>
      </c>
      <c r="F11" s="18" t="s">
        <v>29</v>
      </c>
      <c r="G11" s="20" t="s">
        <v>44</v>
      </c>
      <c r="H11" s="20" t="s">
        <v>12</v>
      </c>
      <c r="I11" s="20"/>
      <c r="J11" s="19" t="s">
        <v>45</v>
      </c>
      <c r="K11" s="16" t="s">
        <v>16</v>
      </c>
      <c r="L11" s="19">
        <v>1</v>
      </c>
      <c r="M11" s="21" t="str">
        <f t="shared" si="0"/>
        <v>X</v>
      </c>
      <c r="N11" s="21" t="str">
        <f t="shared" si="1"/>
        <v>X</v>
      </c>
      <c r="O11" s="34" t="str">
        <f t="shared" si="2"/>
        <v>X</v>
      </c>
    </row>
    <row r="12" spans="1:26" ht="44.25" customHeight="1" x14ac:dyDescent="0.55000000000000004">
      <c r="A12" s="16" t="s">
        <v>46</v>
      </c>
      <c r="B12" s="17">
        <v>8</v>
      </c>
      <c r="C12" s="17" t="s">
        <v>20</v>
      </c>
      <c r="D12" s="17" t="s">
        <v>47</v>
      </c>
      <c r="E12" s="17">
        <v>8</v>
      </c>
      <c r="F12" s="18" t="s">
        <v>48</v>
      </c>
      <c r="G12" s="19"/>
      <c r="H12" s="36" t="s">
        <v>12</v>
      </c>
      <c r="I12" s="36"/>
      <c r="J12" s="35" t="s">
        <v>49</v>
      </c>
      <c r="K12" s="16" t="s">
        <v>16</v>
      </c>
      <c r="L12" s="19">
        <v>1</v>
      </c>
      <c r="M12" s="21" t="str">
        <f t="shared" si="0"/>
        <v>X</v>
      </c>
      <c r="N12" s="21" t="str">
        <f t="shared" si="1"/>
        <v>X</v>
      </c>
      <c r="O12" s="34" t="str">
        <f t="shared" si="2"/>
        <v>X</v>
      </c>
    </row>
    <row r="13" spans="1:26" ht="71.25" customHeight="1" x14ac:dyDescent="0.55000000000000004">
      <c r="A13" s="16" t="s">
        <v>50</v>
      </c>
      <c r="B13" s="17">
        <v>9</v>
      </c>
      <c r="C13" s="17" t="s">
        <v>20</v>
      </c>
      <c r="D13" s="17" t="s">
        <v>47</v>
      </c>
      <c r="E13" s="17">
        <v>8</v>
      </c>
      <c r="F13" s="18" t="s">
        <v>51</v>
      </c>
      <c r="G13" s="17"/>
      <c r="H13" s="20" t="s">
        <v>12</v>
      </c>
      <c r="I13" s="18"/>
      <c r="J13" s="35" t="s">
        <v>52</v>
      </c>
      <c r="K13" s="16" t="s">
        <v>16</v>
      </c>
      <c r="L13" s="19">
        <v>1</v>
      </c>
      <c r="M13" s="21" t="str">
        <f t="shared" si="0"/>
        <v>X</v>
      </c>
      <c r="N13" s="21" t="str">
        <f t="shared" si="1"/>
        <v>X</v>
      </c>
      <c r="O13" s="34" t="str">
        <f t="shared" si="2"/>
        <v>X</v>
      </c>
    </row>
    <row r="14" spans="1:26" ht="59.25" customHeight="1" x14ac:dyDescent="0.55000000000000004">
      <c r="A14" s="16" t="s">
        <v>53</v>
      </c>
      <c r="B14" s="17">
        <v>10</v>
      </c>
      <c r="C14" s="17" t="s">
        <v>20</v>
      </c>
      <c r="D14" s="17" t="s">
        <v>47</v>
      </c>
      <c r="E14" s="17">
        <v>8</v>
      </c>
      <c r="F14" s="18" t="s">
        <v>54</v>
      </c>
      <c r="G14" s="19"/>
      <c r="H14" s="20" t="s">
        <v>12</v>
      </c>
      <c r="I14" s="20"/>
      <c r="J14" s="35" t="s">
        <v>49</v>
      </c>
      <c r="K14" s="16" t="s">
        <v>16</v>
      </c>
      <c r="L14" s="19">
        <v>1</v>
      </c>
      <c r="M14" s="21" t="str">
        <f t="shared" si="0"/>
        <v>X</v>
      </c>
      <c r="N14" s="21" t="str">
        <f t="shared" si="1"/>
        <v>X</v>
      </c>
      <c r="O14" s="34" t="str">
        <f t="shared" si="2"/>
        <v>X</v>
      </c>
    </row>
    <row r="15" spans="1:26" ht="57.75" customHeight="1" x14ac:dyDescent="0.55000000000000004">
      <c r="A15" s="16" t="s">
        <v>55</v>
      </c>
      <c r="B15" s="17">
        <v>11</v>
      </c>
      <c r="C15" s="17" t="s">
        <v>20</v>
      </c>
      <c r="D15" s="17" t="s">
        <v>47</v>
      </c>
      <c r="E15" s="17">
        <v>8</v>
      </c>
      <c r="F15" s="18" t="s">
        <v>56</v>
      </c>
      <c r="G15" s="19"/>
      <c r="H15" s="20" t="s">
        <v>12</v>
      </c>
      <c r="I15" s="20"/>
      <c r="J15" s="35" t="s">
        <v>52</v>
      </c>
      <c r="K15" s="16" t="s">
        <v>16</v>
      </c>
      <c r="L15" s="19">
        <v>1</v>
      </c>
      <c r="M15" s="21" t="str">
        <f t="shared" si="0"/>
        <v>X</v>
      </c>
      <c r="N15" s="21" t="str">
        <f t="shared" si="1"/>
        <v>X</v>
      </c>
      <c r="O15" s="34" t="str">
        <f t="shared" si="2"/>
        <v>X</v>
      </c>
    </row>
    <row r="16" spans="1:26" ht="14.25" customHeight="1" x14ac:dyDescent="0.55000000000000004">
      <c r="A16" s="16" t="s">
        <v>57</v>
      </c>
      <c r="B16" s="17">
        <v>12</v>
      </c>
      <c r="C16" s="17" t="s">
        <v>20</v>
      </c>
      <c r="D16" s="17" t="s">
        <v>20</v>
      </c>
      <c r="E16" s="17">
        <v>120</v>
      </c>
      <c r="F16" s="18" t="s">
        <v>29</v>
      </c>
      <c r="G16" s="19"/>
      <c r="H16" s="20" t="s">
        <v>12</v>
      </c>
      <c r="I16" s="20"/>
      <c r="J16" s="19" t="s">
        <v>58</v>
      </c>
      <c r="K16" s="16" t="s">
        <v>16</v>
      </c>
      <c r="L16" s="19">
        <v>1</v>
      </c>
      <c r="M16" s="21" t="str">
        <f t="shared" si="0"/>
        <v>X</v>
      </c>
      <c r="N16" s="21" t="str">
        <f t="shared" si="1"/>
        <v>X</v>
      </c>
      <c r="O16" s="34" t="str">
        <f t="shared" si="2"/>
        <v>X</v>
      </c>
    </row>
    <row r="17" spans="1:15" ht="14.25" customHeight="1" x14ac:dyDescent="0.55000000000000004">
      <c r="A17" s="16" t="s">
        <v>59</v>
      </c>
      <c r="B17" s="17">
        <v>13</v>
      </c>
      <c r="C17" s="17" t="s">
        <v>20</v>
      </c>
      <c r="D17" s="17" t="s">
        <v>20</v>
      </c>
      <c r="E17" s="17">
        <v>120</v>
      </c>
      <c r="F17" s="18" t="s">
        <v>29</v>
      </c>
      <c r="G17" s="19"/>
      <c r="H17" s="20" t="s">
        <v>30</v>
      </c>
      <c r="I17" s="20"/>
      <c r="J17" s="19" t="s">
        <v>60</v>
      </c>
      <c r="K17" s="16" t="s">
        <v>16</v>
      </c>
      <c r="L17" s="19">
        <v>1</v>
      </c>
      <c r="M17" s="21" t="str">
        <f t="shared" si="0"/>
        <v>X</v>
      </c>
      <c r="N17" s="21" t="str">
        <f t="shared" si="1"/>
        <v>X</v>
      </c>
      <c r="O17" s="34" t="str">
        <f t="shared" si="2"/>
        <v>X</v>
      </c>
    </row>
    <row r="18" spans="1:15" ht="14.25" customHeight="1" x14ac:dyDescent="0.55000000000000004">
      <c r="A18" s="16" t="s">
        <v>61</v>
      </c>
      <c r="B18" s="17">
        <v>14</v>
      </c>
      <c r="C18" s="17" t="s">
        <v>20</v>
      </c>
      <c r="D18" s="17" t="s">
        <v>20</v>
      </c>
      <c r="E18" s="17">
        <v>60</v>
      </c>
      <c r="F18" s="18" t="s">
        <v>29</v>
      </c>
      <c r="G18" s="19"/>
      <c r="H18" s="20" t="s">
        <v>62</v>
      </c>
      <c r="I18" s="20"/>
      <c r="J18" s="35" t="s">
        <v>63</v>
      </c>
      <c r="K18" s="16" t="s">
        <v>16</v>
      </c>
      <c r="L18" s="19">
        <v>1</v>
      </c>
      <c r="M18" s="21" t="str">
        <f t="shared" si="0"/>
        <v>X</v>
      </c>
      <c r="N18" s="21" t="str">
        <f t="shared" si="1"/>
        <v>X</v>
      </c>
      <c r="O18" s="34" t="str">
        <f t="shared" si="2"/>
        <v>X</v>
      </c>
    </row>
    <row r="19" spans="1:15" ht="14.25" customHeight="1" x14ac:dyDescent="0.55000000000000004">
      <c r="A19" s="16" t="s">
        <v>64</v>
      </c>
      <c r="B19" s="17">
        <v>15</v>
      </c>
      <c r="C19" s="17" t="s">
        <v>20</v>
      </c>
      <c r="D19" s="17" t="s">
        <v>20</v>
      </c>
      <c r="E19" s="17">
        <v>10</v>
      </c>
      <c r="F19" s="18" t="s">
        <v>29</v>
      </c>
      <c r="G19" s="19"/>
      <c r="H19" s="20" t="s">
        <v>62</v>
      </c>
      <c r="I19" s="20"/>
      <c r="J19" s="35" t="s">
        <v>65</v>
      </c>
      <c r="K19" s="16" t="s">
        <v>16</v>
      </c>
      <c r="L19" s="19">
        <v>1</v>
      </c>
      <c r="M19" s="21" t="str">
        <f t="shared" si="0"/>
        <v>X</v>
      </c>
      <c r="N19" s="21" t="str">
        <f t="shared" si="1"/>
        <v>X</v>
      </c>
      <c r="O19" s="34" t="str">
        <f t="shared" si="2"/>
        <v>X</v>
      </c>
    </row>
    <row r="20" spans="1:15" ht="14.25" customHeight="1" x14ac:dyDescent="0.55000000000000004">
      <c r="A20" s="37" t="s">
        <v>66</v>
      </c>
      <c r="B20" s="17">
        <v>16</v>
      </c>
      <c r="C20" s="17" t="s">
        <v>20</v>
      </c>
      <c r="D20" s="17" t="s">
        <v>20</v>
      </c>
      <c r="E20" s="17">
        <v>150</v>
      </c>
      <c r="F20" s="18" t="s">
        <v>67</v>
      </c>
      <c r="G20" s="19"/>
      <c r="H20" s="20" t="s">
        <v>12</v>
      </c>
      <c r="I20" s="20"/>
      <c r="J20" s="19" t="s">
        <v>68</v>
      </c>
      <c r="K20" s="16" t="s">
        <v>16</v>
      </c>
      <c r="L20" s="19">
        <v>1</v>
      </c>
      <c r="M20" s="21" t="str">
        <f t="shared" si="0"/>
        <v>X</v>
      </c>
      <c r="N20" s="21" t="str">
        <f t="shared" si="1"/>
        <v>X</v>
      </c>
      <c r="O20" s="34" t="str">
        <f t="shared" si="2"/>
        <v>X</v>
      </c>
    </row>
    <row r="21" spans="1:15" ht="14.25" customHeight="1" x14ac:dyDescent="0.55000000000000004">
      <c r="A21" s="16" t="s">
        <v>69</v>
      </c>
      <c r="B21" s="17">
        <v>17</v>
      </c>
      <c r="C21" s="17" t="s">
        <v>20</v>
      </c>
      <c r="D21" s="17" t="s">
        <v>20</v>
      </c>
      <c r="E21" s="17">
        <v>150</v>
      </c>
      <c r="F21" s="18" t="s">
        <v>67</v>
      </c>
      <c r="G21" s="19"/>
      <c r="H21" s="20" t="s">
        <v>30</v>
      </c>
      <c r="I21" s="20"/>
      <c r="J21" s="19" t="s">
        <v>70</v>
      </c>
      <c r="K21" s="16" t="s">
        <v>16</v>
      </c>
      <c r="L21" s="19">
        <v>1</v>
      </c>
      <c r="M21" s="21" t="str">
        <f t="shared" si="0"/>
        <v>X</v>
      </c>
      <c r="N21" s="21" t="str">
        <f t="shared" si="1"/>
        <v>X</v>
      </c>
      <c r="O21" s="34" t="str">
        <f t="shared" si="2"/>
        <v>X</v>
      </c>
    </row>
    <row r="22" spans="1:15" ht="14.25" customHeight="1" x14ac:dyDescent="0.55000000000000004">
      <c r="A22" s="16" t="s">
        <v>71</v>
      </c>
      <c r="B22" s="17">
        <v>18</v>
      </c>
      <c r="C22" s="17" t="s">
        <v>20</v>
      </c>
      <c r="D22" s="17" t="s">
        <v>20</v>
      </c>
      <c r="E22" s="17">
        <v>40</v>
      </c>
      <c r="F22" s="18" t="s">
        <v>67</v>
      </c>
      <c r="G22" s="19"/>
      <c r="H22" s="20" t="s">
        <v>12</v>
      </c>
      <c r="I22" s="20"/>
      <c r="J22" s="19" t="s">
        <v>72</v>
      </c>
      <c r="K22" s="16" t="s">
        <v>16</v>
      </c>
      <c r="L22" s="19">
        <v>1</v>
      </c>
      <c r="M22" s="21" t="str">
        <f t="shared" si="0"/>
        <v>X</v>
      </c>
      <c r="N22" s="21" t="str">
        <f t="shared" si="1"/>
        <v>X</v>
      </c>
      <c r="O22" s="34" t="str">
        <f t="shared" si="2"/>
        <v>X</v>
      </c>
    </row>
    <row r="23" spans="1:15" ht="14.25" customHeight="1" x14ac:dyDescent="0.55000000000000004">
      <c r="A23" s="16" t="s">
        <v>73</v>
      </c>
      <c r="B23" s="17">
        <v>19</v>
      </c>
      <c r="C23" s="17" t="s">
        <v>20</v>
      </c>
      <c r="D23" s="17" t="s">
        <v>20</v>
      </c>
      <c r="E23" s="17">
        <v>55</v>
      </c>
      <c r="F23" s="18" t="s">
        <v>67</v>
      </c>
      <c r="G23" s="19"/>
      <c r="H23" s="20" t="s">
        <v>30</v>
      </c>
      <c r="I23" s="20" t="s">
        <v>74</v>
      </c>
      <c r="J23" s="19" t="s">
        <v>75</v>
      </c>
      <c r="K23" s="16" t="s">
        <v>16</v>
      </c>
      <c r="L23" s="19">
        <v>1</v>
      </c>
      <c r="M23" s="21" t="str">
        <f t="shared" si="0"/>
        <v>X</v>
      </c>
      <c r="N23" s="21" t="str">
        <f t="shared" si="1"/>
        <v>X</v>
      </c>
      <c r="O23" s="34" t="str">
        <f t="shared" si="2"/>
        <v>X</v>
      </c>
    </row>
    <row r="24" spans="1:15" ht="14.25" customHeight="1" x14ac:dyDescent="0.55000000000000004">
      <c r="A24" s="16" t="s">
        <v>76</v>
      </c>
      <c r="B24" s="17">
        <v>20</v>
      </c>
      <c r="C24" s="17" t="s">
        <v>20</v>
      </c>
      <c r="D24" s="17" t="s">
        <v>20</v>
      </c>
      <c r="E24" s="17">
        <v>50</v>
      </c>
      <c r="F24" s="18" t="s">
        <v>67</v>
      </c>
      <c r="G24" s="19"/>
      <c r="H24" s="20" t="s">
        <v>30</v>
      </c>
      <c r="I24" s="20" t="s">
        <v>77</v>
      </c>
      <c r="J24" s="19">
        <v>32920</v>
      </c>
      <c r="K24" s="16" t="s">
        <v>16</v>
      </c>
      <c r="L24" s="19">
        <v>1</v>
      </c>
      <c r="M24" s="21" t="str">
        <f t="shared" si="0"/>
        <v>X</v>
      </c>
      <c r="N24" s="21" t="str">
        <f t="shared" si="1"/>
        <v>X</v>
      </c>
      <c r="O24" s="34" t="str">
        <f t="shared" si="2"/>
        <v>X</v>
      </c>
    </row>
    <row r="25" spans="1:15" ht="14.25" customHeight="1" x14ac:dyDescent="0.55000000000000004">
      <c r="A25" s="16" t="s">
        <v>78</v>
      </c>
      <c r="B25" s="17">
        <v>21</v>
      </c>
      <c r="C25" s="17" t="s">
        <v>20</v>
      </c>
      <c r="D25" s="17" t="s">
        <v>79</v>
      </c>
      <c r="E25" s="17">
        <v>4</v>
      </c>
      <c r="F25" s="18" t="s">
        <v>67</v>
      </c>
      <c r="G25" s="19"/>
      <c r="H25" s="20" t="s">
        <v>30</v>
      </c>
      <c r="I25" s="20" t="s">
        <v>80</v>
      </c>
      <c r="J25" s="35" t="s">
        <v>81</v>
      </c>
      <c r="K25" s="16" t="s">
        <v>16</v>
      </c>
      <c r="L25" s="19">
        <v>1</v>
      </c>
      <c r="M25" s="21" t="str">
        <f t="shared" si="0"/>
        <v>X</v>
      </c>
      <c r="N25" s="21" t="str">
        <f t="shared" si="1"/>
        <v>X</v>
      </c>
      <c r="O25" s="34" t="str">
        <f t="shared" si="2"/>
        <v>X</v>
      </c>
    </row>
    <row r="26" spans="1:15" ht="14.25" customHeight="1" x14ac:dyDescent="0.55000000000000004">
      <c r="A26" s="16" t="s">
        <v>82</v>
      </c>
      <c r="B26" s="17">
        <v>22</v>
      </c>
      <c r="C26" s="17" t="s">
        <v>20</v>
      </c>
      <c r="D26" s="17" t="s">
        <v>20</v>
      </c>
      <c r="E26" s="17">
        <v>3</v>
      </c>
      <c r="F26" s="18" t="s">
        <v>67</v>
      </c>
      <c r="G26" s="19"/>
      <c r="H26" s="20" t="s">
        <v>12</v>
      </c>
      <c r="I26" s="20"/>
      <c r="J26" s="19" t="s">
        <v>83</v>
      </c>
      <c r="K26" s="16" t="s">
        <v>16</v>
      </c>
      <c r="L26" s="19">
        <v>1</v>
      </c>
      <c r="M26" s="21" t="str">
        <f t="shared" si="0"/>
        <v>X</v>
      </c>
      <c r="N26" s="21" t="str">
        <f t="shared" si="1"/>
        <v>X</v>
      </c>
      <c r="O26" s="34" t="str">
        <f t="shared" si="2"/>
        <v>X</v>
      </c>
    </row>
    <row r="27" spans="1:15" ht="14.25" customHeight="1" x14ac:dyDescent="0.55000000000000004">
      <c r="A27" s="16" t="s">
        <v>84</v>
      </c>
      <c r="B27" s="17">
        <v>23</v>
      </c>
      <c r="C27" s="17" t="s">
        <v>20</v>
      </c>
      <c r="D27" s="17" t="s">
        <v>79</v>
      </c>
      <c r="E27" s="17">
        <v>10</v>
      </c>
      <c r="F27" s="18" t="s">
        <v>67</v>
      </c>
      <c r="G27" s="19"/>
      <c r="H27" s="20" t="s">
        <v>30</v>
      </c>
      <c r="I27" s="20" t="s">
        <v>77</v>
      </c>
      <c r="J27" s="19">
        <v>10</v>
      </c>
      <c r="K27" s="16" t="s">
        <v>16</v>
      </c>
      <c r="L27" s="19">
        <v>1</v>
      </c>
      <c r="M27" s="21" t="str">
        <f t="shared" si="0"/>
        <v>X</v>
      </c>
      <c r="N27" s="21" t="str">
        <f t="shared" si="1"/>
        <v>X</v>
      </c>
      <c r="O27" s="34" t="str">
        <f t="shared" si="2"/>
        <v>X</v>
      </c>
    </row>
    <row r="28" spans="1:15" ht="14.25" customHeight="1" x14ac:dyDescent="0.55000000000000004">
      <c r="A28" s="38" t="s">
        <v>85</v>
      </c>
      <c r="B28" s="17">
        <v>24</v>
      </c>
      <c r="C28" s="39" t="s">
        <v>20</v>
      </c>
      <c r="D28" s="17" t="s">
        <v>86</v>
      </c>
      <c r="E28" s="17">
        <v>1</v>
      </c>
      <c r="F28" s="40" t="s">
        <v>87</v>
      </c>
      <c r="G28" s="41"/>
      <c r="H28" s="42" t="s">
        <v>12</v>
      </c>
      <c r="I28" s="42"/>
      <c r="J28" s="41" t="s">
        <v>88</v>
      </c>
      <c r="K28" s="43" t="s">
        <v>16</v>
      </c>
      <c r="L28" s="41">
        <f>IF(K28="Public",1,IF(K28="FOUO (CUI)",2,IF(K28="Sensitive (CUI)",3,IF(K28="System-Only",4))))</f>
        <v>1</v>
      </c>
      <c r="M28" s="44" t="str">
        <f t="shared" si="0"/>
        <v>X</v>
      </c>
      <c r="N28" s="45" t="str">
        <f t="shared" si="1"/>
        <v>X</v>
      </c>
      <c r="O28" s="46" t="str">
        <f t="shared" si="2"/>
        <v>X</v>
      </c>
    </row>
    <row r="29" spans="1:15" ht="14.25" customHeight="1" x14ac:dyDescent="0.55000000000000004">
      <c r="A29" s="16" t="s">
        <v>89</v>
      </c>
      <c r="B29" s="17">
        <v>25</v>
      </c>
      <c r="C29" s="17" t="s">
        <v>20</v>
      </c>
      <c r="D29" s="17" t="s">
        <v>47</v>
      </c>
      <c r="E29" s="17">
        <v>8</v>
      </c>
      <c r="F29" s="18" t="s">
        <v>29</v>
      </c>
      <c r="G29" s="19"/>
      <c r="H29" s="20" t="s">
        <v>33</v>
      </c>
      <c r="I29" s="20"/>
      <c r="J29" s="35" t="s">
        <v>90</v>
      </c>
      <c r="K29" s="16" t="s">
        <v>16</v>
      </c>
      <c r="L29" s="19">
        <v>1</v>
      </c>
      <c r="M29" s="21" t="str">
        <f t="shared" si="0"/>
        <v>X</v>
      </c>
      <c r="N29" s="21" t="str">
        <f t="shared" si="1"/>
        <v>X</v>
      </c>
      <c r="O29" s="34" t="str">
        <f t="shared" si="2"/>
        <v>X</v>
      </c>
    </row>
    <row r="30" spans="1:15" ht="14.25" customHeight="1" x14ac:dyDescent="0.55000000000000004">
      <c r="A30" s="16" t="s">
        <v>91</v>
      </c>
      <c r="B30" s="17">
        <v>26</v>
      </c>
      <c r="C30" s="17" t="s">
        <v>20</v>
      </c>
      <c r="D30" s="17" t="s">
        <v>92</v>
      </c>
      <c r="E30" s="17">
        <v>4</v>
      </c>
      <c r="F30" s="18" t="s">
        <v>29</v>
      </c>
      <c r="G30" s="19"/>
      <c r="H30" s="20" t="s">
        <v>33</v>
      </c>
      <c r="I30" s="20"/>
      <c r="J30" s="35" t="s">
        <v>93</v>
      </c>
      <c r="K30" s="16" t="s">
        <v>16</v>
      </c>
      <c r="L30" s="19">
        <v>1</v>
      </c>
      <c r="M30" s="21" t="str">
        <f t="shared" si="0"/>
        <v>X</v>
      </c>
      <c r="N30" s="21" t="str">
        <f t="shared" si="1"/>
        <v>X</v>
      </c>
      <c r="O30" s="34" t="str">
        <f t="shared" si="2"/>
        <v>X</v>
      </c>
    </row>
    <row r="31" spans="1:15" ht="14.25" customHeight="1" x14ac:dyDescent="0.55000000000000004">
      <c r="A31" s="16" t="s">
        <v>94</v>
      </c>
      <c r="B31" s="17">
        <v>27</v>
      </c>
      <c r="C31" s="17" t="s">
        <v>20</v>
      </c>
      <c r="D31" s="17" t="s">
        <v>20</v>
      </c>
      <c r="E31" s="17">
        <v>2</v>
      </c>
      <c r="F31" s="18" t="s">
        <v>29</v>
      </c>
      <c r="G31" s="20" t="s">
        <v>95</v>
      </c>
      <c r="H31" s="20" t="s">
        <v>62</v>
      </c>
      <c r="I31" s="20"/>
      <c r="J31" s="35" t="s">
        <v>96</v>
      </c>
      <c r="K31" s="16" t="s">
        <v>17</v>
      </c>
      <c r="L31" s="19">
        <v>2</v>
      </c>
      <c r="M31" s="21" t="str">
        <f t="shared" si="0"/>
        <v/>
      </c>
      <c r="N31" s="21" t="str">
        <f t="shared" si="1"/>
        <v>X</v>
      </c>
      <c r="O31" s="34" t="str">
        <f t="shared" si="2"/>
        <v>X</v>
      </c>
    </row>
    <row r="32" spans="1:15" ht="14.25" customHeight="1" x14ac:dyDescent="0.55000000000000004">
      <c r="A32" s="16" t="s">
        <v>97</v>
      </c>
      <c r="B32" s="17">
        <v>28</v>
      </c>
      <c r="C32" s="17" t="s">
        <v>20</v>
      </c>
      <c r="D32" s="17" t="s">
        <v>20</v>
      </c>
      <c r="E32" s="17">
        <v>2</v>
      </c>
      <c r="F32" s="18" t="s">
        <v>29</v>
      </c>
      <c r="G32" s="20" t="s">
        <v>95</v>
      </c>
      <c r="H32" s="20" t="s">
        <v>62</v>
      </c>
      <c r="I32" s="20"/>
      <c r="J32" s="35" t="s">
        <v>96</v>
      </c>
      <c r="K32" s="16" t="s">
        <v>17</v>
      </c>
      <c r="L32" s="19">
        <v>2</v>
      </c>
      <c r="M32" s="21" t="str">
        <f t="shared" si="0"/>
        <v/>
      </c>
      <c r="N32" s="21" t="str">
        <f t="shared" si="1"/>
        <v>X</v>
      </c>
      <c r="O32" s="34" t="str">
        <f t="shared" si="2"/>
        <v>X</v>
      </c>
    </row>
    <row r="33" spans="1:15" ht="14.25" customHeight="1" x14ac:dyDescent="0.55000000000000004">
      <c r="A33" s="16" t="s">
        <v>98</v>
      </c>
      <c r="B33" s="17">
        <v>29</v>
      </c>
      <c r="C33" s="17" t="s">
        <v>20</v>
      </c>
      <c r="D33" s="17" t="s">
        <v>20</v>
      </c>
      <c r="E33" s="17">
        <v>200</v>
      </c>
      <c r="F33" s="18" t="s">
        <v>29</v>
      </c>
      <c r="G33" s="19"/>
      <c r="H33" s="20" t="s">
        <v>62</v>
      </c>
      <c r="I33" s="20"/>
      <c r="J33" s="35" t="s">
        <v>99</v>
      </c>
      <c r="K33" s="16" t="s">
        <v>16</v>
      </c>
      <c r="L33" s="19">
        <v>1</v>
      </c>
      <c r="M33" s="21" t="str">
        <f t="shared" si="0"/>
        <v>X</v>
      </c>
      <c r="N33" s="21" t="str">
        <f t="shared" si="1"/>
        <v>X</v>
      </c>
      <c r="O33" s="34" t="str">
        <f t="shared" si="2"/>
        <v>X</v>
      </c>
    </row>
    <row r="34" spans="1:15" ht="14.25" customHeight="1" x14ac:dyDescent="0.55000000000000004">
      <c r="A34" s="16" t="s">
        <v>100</v>
      </c>
      <c r="B34" s="17">
        <v>30</v>
      </c>
      <c r="C34" s="17" t="s">
        <v>20</v>
      </c>
      <c r="D34" s="17" t="s">
        <v>20</v>
      </c>
      <c r="E34" s="17">
        <v>2</v>
      </c>
      <c r="F34" s="18" t="s">
        <v>29</v>
      </c>
      <c r="G34" s="20" t="s">
        <v>101</v>
      </c>
      <c r="H34" s="20" t="s">
        <v>12</v>
      </c>
      <c r="I34" s="20"/>
      <c r="J34" s="35" t="s">
        <v>102</v>
      </c>
      <c r="K34" s="16" t="s">
        <v>16</v>
      </c>
      <c r="L34" s="19">
        <v>1</v>
      </c>
      <c r="M34" s="21" t="str">
        <f t="shared" si="0"/>
        <v>X</v>
      </c>
      <c r="N34" s="21" t="str">
        <f t="shared" si="1"/>
        <v>X</v>
      </c>
      <c r="O34" s="34" t="str">
        <f t="shared" si="2"/>
        <v>X</v>
      </c>
    </row>
    <row r="35" spans="1:15" ht="14.25" customHeight="1" x14ac:dyDescent="0.55000000000000004">
      <c r="A35" s="16" t="s">
        <v>103</v>
      </c>
      <c r="B35" s="17">
        <v>31</v>
      </c>
      <c r="C35" s="17" t="s">
        <v>20</v>
      </c>
      <c r="D35" s="17" t="s">
        <v>20</v>
      </c>
      <c r="E35" s="17">
        <v>2</v>
      </c>
      <c r="F35" s="18" t="s">
        <v>29</v>
      </c>
      <c r="G35" s="19"/>
      <c r="H35" s="20" t="s">
        <v>62</v>
      </c>
      <c r="I35" s="20" t="s">
        <v>104</v>
      </c>
      <c r="J35" s="35" t="s">
        <v>75</v>
      </c>
      <c r="K35" s="16" t="s">
        <v>16</v>
      </c>
      <c r="L35" s="19">
        <v>1</v>
      </c>
      <c r="M35" s="21" t="str">
        <f t="shared" si="0"/>
        <v>X</v>
      </c>
      <c r="N35" s="21" t="str">
        <f t="shared" si="1"/>
        <v>X</v>
      </c>
      <c r="O35" s="34" t="str">
        <f t="shared" si="2"/>
        <v>X</v>
      </c>
    </row>
    <row r="36" spans="1:15" ht="14.25" customHeight="1" x14ac:dyDescent="0.55000000000000004">
      <c r="A36" s="16" t="s">
        <v>105</v>
      </c>
      <c r="B36" s="17">
        <v>32</v>
      </c>
      <c r="C36" s="17" t="s">
        <v>20</v>
      </c>
      <c r="D36" s="17" t="s">
        <v>20</v>
      </c>
      <c r="E36" s="17">
        <v>3</v>
      </c>
      <c r="F36" s="18" t="s">
        <v>29</v>
      </c>
      <c r="G36" s="19"/>
      <c r="H36" s="20" t="s">
        <v>33</v>
      </c>
      <c r="I36" s="20"/>
      <c r="J36" s="35" t="s">
        <v>83</v>
      </c>
      <c r="K36" s="16" t="s">
        <v>16</v>
      </c>
      <c r="L36" s="19">
        <v>1</v>
      </c>
      <c r="M36" s="21" t="str">
        <f t="shared" si="0"/>
        <v>X</v>
      </c>
      <c r="N36" s="21" t="str">
        <f t="shared" si="1"/>
        <v>X</v>
      </c>
      <c r="O36" s="34" t="str">
        <f t="shared" si="2"/>
        <v>X</v>
      </c>
    </row>
    <row r="37" spans="1:15" ht="14.25" customHeight="1" x14ac:dyDescent="0.55000000000000004">
      <c r="A37" s="16" t="s">
        <v>106</v>
      </c>
      <c r="B37" s="17">
        <v>33</v>
      </c>
      <c r="C37" s="17" t="s">
        <v>20</v>
      </c>
      <c r="D37" s="17" t="s">
        <v>79</v>
      </c>
      <c r="E37" s="17">
        <v>4</v>
      </c>
      <c r="F37" s="18" t="s">
        <v>107</v>
      </c>
      <c r="G37" s="19"/>
      <c r="H37" s="20" t="s">
        <v>12</v>
      </c>
      <c r="I37" s="20"/>
      <c r="J37" s="35" t="s">
        <v>108</v>
      </c>
      <c r="K37" s="16" t="s">
        <v>16</v>
      </c>
      <c r="L37" s="19">
        <f>IF(K37="Public",1,IF(K37="FOUO (CUI)",2,IF(K37="Sensitive (CUI)",3,IF(K37="System-Only",4))))</f>
        <v>1</v>
      </c>
      <c r="M37" s="21" t="str">
        <f t="shared" si="0"/>
        <v>X</v>
      </c>
      <c r="N37" s="21" t="str">
        <f t="shared" si="1"/>
        <v>X</v>
      </c>
      <c r="O37" s="34" t="str">
        <f t="shared" si="2"/>
        <v>X</v>
      </c>
    </row>
    <row r="38" spans="1:15" ht="14.25" customHeight="1" x14ac:dyDescent="0.55000000000000004">
      <c r="A38" s="37" t="s">
        <v>109</v>
      </c>
      <c r="B38" s="17">
        <v>34</v>
      </c>
      <c r="C38" s="17" t="s">
        <v>20</v>
      </c>
      <c r="D38" s="17" t="s">
        <v>110</v>
      </c>
      <c r="E38" s="17">
        <v>220</v>
      </c>
      <c r="F38" s="18" t="s">
        <v>111</v>
      </c>
      <c r="G38" s="19" t="s">
        <v>112</v>
      </c>
      <c r="H38" s="20" t="s">
        <v>12</v>
      </c>
      <c r="I38" s="20" t="s">
        <v>113</v>
      </c>
      <c r="J38" s="19" t="s">
        <v>114</v>
      </c>
      <c r="K38" s="16" t="s">
        <v>16</v>
      </c>
      <c r="L38" s="19">
        <v>1</v>
      </c>
      <c r="M38" s="21" t="str">
        <f t="shared" si="0"/>
        <v>X</v>
      </c>
      <c r="N38" s="21" t="str">
        <f t="shared" si="1"/>
        <v>X</v>
      </c>
      <c r="O38" s="34" t="str">
        <f t="shared" si="2"/>
        <v>X</v>
      </c>
    </row>
    <row r="39" spans="1:15" ht="14.25" customHeight="1" x14ac:dyDescent="0.55000000000000004">
      <c r="A39" s="16" t="s">
        <v>115</v>
      </c>
      <c r="B39" s="17">
        <v>35</v>
      </c>
      <c r="C39" s="17" t="s">
        <v>20</v>
      </c>
      <c r="D39" s="17" t="s">
        <v>20</v>
      </c>
      <c r="E39" s="17">
        <v>1</v>
      </c>
      <c r="F39" s="18" t="s">
        <v>116</v>
      </c>
      <c r="G39" s="20" t="s">
        <v>117</v>
      </c>
      <c r="H39" s="20" t="s">
        <v>118</v>
      </c>
      <c r="I39" s="20"/>
      <c r="J39" s="19">
        <v>1</v>
      </c>
      <c r="K39" s="16" t="s">
        <v>17</v>
      </c>
      <c r="L39" s="19">
        <v>2</v>
      </c>
      <c r="M39" s="21" t="str">
        <f t="shared" si="0"/>
        <v/>
      </c>
      <c r="N39" s="21" t="str">
        <f t="shared" si="1"/>
        <v>X</v>
      </c>
      <c r="O39" s="34" t="str">
        <f t="shared" si="2"/>
        <v>X</v>
      </c>
    </row>
    <row r="40" spans="1:15" ht="14.25" customHeight="1" x14ac:dyDescent="0.55000000000000004">
      <c r="A40" s="16" t="s">
        <v>119</v>
      </c>
      <c r="B40" s="17">
        <v>36</v>
      </c>
      <c r="C40" s="17" t="s">
        <v>20</v>
      </c>
      <c r="D40" s="17" t="s">
        <v>20</v>
      </c>
      <c r="E40" s="17">
        <v>6</v>
      </c>
      <c r="F40" s="18" t="s">
        <v>29</v>
      </c>
      <c r="G40" s="19"/>
      <c r="H40" s="20" t="s">
        <v>120</v>
      </c>
      <c r="I40" s="20"/>
      <c r="J40" s="19">
        <v>543321</v>
      </c>
      <c r="K40" s="16" t="s">
        <v>16</v>
      </c>
      <c r="L40" s="19">
        <v>1</v>
      </c>
      <c r="M40" s="21" t="str">
        <f t="shared" si="0"/>
        <v>X</v>
      </c>
      <c r="N40" s="21" t="str">
        <f t="shared" si="1"/>
        <v>X</v>
      </c>
      <c r="O40" s="34" t="str">
        <f t="shared" si="2"/>
        <v>X</v>
      </c>
    </row>
    <row r="41" spans="1:15" ht="14.25" customHeight="1" x14ac:dyDescent="0.55000000000000004">
      <c r="A41" s="16" t="s">
        <v>121</v>
      </c>
      <c r="B41" s="17">
        <v>37</v>
      </c>
      <c r="C41" s="17" t="s">
        <v>20</v>
      </c>
      <c r="D41" s="17" t="s">
        <v>79</v>
      </c>
      <c r="E41" s="17">
        <v>4</v>
      </c>
      <c r="F41" s="18" t="s">
        <v>122</v>
      </c>
      <c r="G41" s="19"/>
      <c r="H41" s="20" t="s">
        <v>12</v>
      </c>
      <c r="I41" s="20"/>
      <c r="J41" s="35" t="s">
        <v>123</v>
      </c>
      <c r="K41" s="16" t="s">
        <v>16</v>
      </c>
      <c r="L41" s="19">
        <f>IF(K41="Public",1,IF(K41="FOUO (CUI)",2,IF(K41="Sensitive (CUI)",3,IF(K41="System-Only",4))))</f>
        <v>1</v>
      </c>
      <c r="M41" s="21" t="str">
        <f t="shared" si="0"/>
        <v>X</v>
      </c>
      <c r="N41" s="21" t="str">
        <f t="shared" si="1"/>
        <v>X</v>
      </c>
      <c r="O41" s="34" t="str">
        <f t="shared" si="2"/>
        <v>X</v>
      </c>
    </row>
    <row r="42" spans="1:15" ht="14.25" customHeight="1" x14ac:dyDescent="0.55000000000000004">
      <c r="A42" s="16" t="s">
        <v>124</v>
      </c>
      <c r="B42" s="17">
        <v>38</v>
      </c>
      <c r="C42" s="17" t="s">
        <v>20</v>
      </c>
      <c r="D42" s="17" t="s">
        <v>110</v>
      </c>
      <c r="E42" s="17">
        <v>12000</v>
      </c>
      <c r="F42" s="18" t="s">
        <v>125</v>
      </c>
      <c r="G42" s="19" t="s">
        <v>112</v>
      </c>
      <c r="H42" s="20" t="s">
        <v>120</v>
      </c>
      <c r="I42" s="20" t="s">
        <v>113</v>
      </c>
      <c r="J42" s="19" t="s">
        <v>126</v>
      </c>
      <c r="K42" s="16" t="s">
        <v>16</v>
      </c>
      <c r="L42" s="19">
        <v>1</v>
      </c>
      <c r="M42" s="21" t="str">
        <f t="shared" si="0"/>
        <v>X</v>
      </c>
      <c r="N42" s="21" t="str">
        <f t="shared" si="1"/>
        <v>X</v>
      </c>
      <c r="O42" s="34" t="str">
        <f t="shared" si="2"/>
        <v>X</v>
      </c>
    </row>
    <row r="43" spans="1:15" ht="14.25" customHeight="1" x14ac:dyDescent="0.55000000000000004">
      <c r="A43" s="16" t="s">
        <v>127</v>
      </c>
      <c r="B43" s="17">
        <v>39</v>
      </c>
      <c r="C43" s="17" t="s">
        <v>20</v>
      </c>
      <c r="D43" s="17" t="s">
        <v>79</v>
      </c>
      <c r="E43" s="17">
        <v>4</v>
      </c>
      <c r="F43" s="18" t="s">
        <v>128</v>
      </c>
      <c r="G43" s="19"/>
      <c r="H43" s="20" t="s">
        <v>12</v>
      </c>
      <c r="I43" s="20"/>
      <c r="J43" s="35" t="s">
        <v>129</v>
      </c>
      <c r="K43" s="16" t="s">
        <v>16</v>
      </c>
      <c r="L43" s="19">
        <f>IF(K43="Public",1,IF(K43="FOUO (CUI)",2,IF(K43="Sensitive (CUI)",3,IF(K43="System-Only",4))))</f>
        <v>1</v>
      </c>
      <c r="M43" s="21" t="str">
        <f t="shared" si="0"/>
        <v>X</v>
      </c>
      <c r="N43" s="21" t="str">
        <f t="shared" si="1"/>
        <v>X</v>
      </c>
      <c r="O43" s="34" t="str">
        <f t="shared" si="2"/>
        <v>X</v>
      </c>
    </row>
    <row r="44" spans="1:15" ht="14.25" customHeight="1" x14ac:dyDescent="0.55000000000000004">
      <c r="A44" s="16" t="s">
        <v>130</v>
      </c>
      <c r="B44" s="17">
        <v>40</v>
      </c>
      <c r="C44" s="17" t="s">
        <v>20</v>
      </c>
      <c r="D44" s="17" t="s">
        <v>110</v>
      </c>
      <c r="E44" s="17">
        <v>2500</v>
      </c>
      <c r="F44" s="18" t="s">
        <v>131</v>
      </c>
      <c r="G44" s="19" t="s">
        <v>112</v>
      </c>
      <c r="H44" s="20" t="s">
        <v>132</v>
      </c>
      <c r="I44" s="20" t="s">
        <v>113</v>
      </c>
      <c r="J44" s="19" t="s">
        <v>133</v>
      </c>
      <c r="K44" s="16" t="s">
        <v>16</v>
      </c>
      <c r="L44" s="19">
        <v>1</v>
      </c>
      <c r="M44" s="21" t="str">
        <f t="shared" si="0"/>
        <v>X</v>
      </c>
      <c r="N44" s="21" t="str">
        <f t="shared" si="1"/>
        <v>X</v>
      </c>
      <c r="O44" s="34" t="str">
        <f t="shared" si="2"/>
        <v>X</v>
      </c>
    </row>
    <row r="45" spans="1:15" ht="14.25" customHeight="1" x14ac:dyDescent="0.55000000000000004">
      <c r="A45" s="16" t="s">
        <v>134</v>
      </c>
      <c r="B45" s="17">
        <v>41</v>
      </c>
      <c r="C45" s="17" t="s">
        <v>20</v>
      </c>
      <c r="D45" s="17" t="s">
        <v>86</v>
      </c>
      <c r="E45" s="17">
        <v>1</v>
      </c>
      <c r="F45" s="18" t="s">
        <v>29</v>
      </c>
      <c r="G45" s="19"/>
      <c r="H45" s="20" t="s">
        <v>30</v>
      </c>
      <c r="I45" s="20"/>
      <c r="J45" s="19" t="s">
        <v>135</v>
      </c>
      <c r="K45" s="16" t="s">
        <v>16</v>
      </c>
      <c r="L45" s="19">
        <v>1</v>
      </c>
      <c r="M45" s="21" t="str">
        <f t="shared" si="0"/>
        <v>X</v>
      </c>
      <c r="N45" s="21" t="str">
        <f t="shared" si="1"/>
        <v>X</v>
      </c>
      <c r="O45" s="34" t="str">
        <f t="shared" si="2"/>
        <v>X</v>
      </c>
    </row>
    <row r="46" spans="1:15" ht="14.25" customHeight="1" x14ac:dyDescent="0.55000000000000004">
      <c r="A46" s="16" t="s">
        <v>136</v>
      </c>
      <c r="B46" s="17">
        <v>42</v>
      </c>
      <c r="C46" s="17" t="s">
        <v>20</v>
      </c>
      <c r="D46" s="17" t="s">
        <v>137</v>
      </c>
      <c r="E46" s="17">
        <v>1</v>
      </c>
      <c r="F46" s="18" t="s">
        <v>29</v>
      </c>
      <c r="G46" s="20" t="s">
        <v>138</v>
      </c>
      <c r="H46" s="20" t="s">
        <v>62</v>
      </c>
      <c r="I46" s="20"/>
      <c r="J46" s="19" t="s">
        <v>139</v>
      </c>
      <c r="K46" s="16" t="s">
        <v>16</v>
      </c>
      <c r="L46" s="19">
        <v>1</v>
      </c>
      <c r="M46" s="21" t="str">
        <f t="shared" si="0"/>
        <v>X</v>
      </c>
      <c r="N46" s="21" t="str">
        <f t="shared" si="1"/>
        <v>X</v>
      </c>
      <c r="O46" s="34" t="str">
        <f t="shared" si="2"/>
        <v>X</v>
      </c>
    </row>
    <row r="47" spans="1:15" ht="14.25" customHeight="1" x14ac:dyDescent="0.55000000000000004">
      <c r="A47" s="16" t="s">
        <v>140</v>
      </c>
      <c r="B47" s="17">
        <v>43</v>
      </c>
      <c r="C47" s="17" t="s">
        <v>20</v>
      </c>
      <c r="D47" s="17" t="s">
        <v>20</v>
      </c>
      <c r="E47" s="17">
        <v>150</v>
      </c>
      <c r="F47" s="18" t="s">
        <v>29</v>
      </c>
      <c r="G47" s="19"/>
      <c r="H47" s="20" t="s">
        <v>33</v>
      </c>
      <c r="I47" s="20"/>
      <c r="J47" s="35" t="s">
        <v>141</v>
      </c>
      <c r="K47" s="16" t="s">
        <v>16</v>
      </c>
      <c r="L47" s="19">
        <v>1</v>
      </c>
      <c r="M47" s="21" t="str">
        <f t="shared" si="0"/>
        <v>X</v>
      </c>
      <c r="N47" s="21" t="str">
        <f t="shared" si="1"/>
        <v>X</v>
      </c>
      <c r="O47" s="34" t="str">
        <f t="shared" si="2"/>
        <v>X</v>
      </c>
    </row>
    <row r="48" spans="1:15" ht="14.25" customHeight="1" x14ac:dyDescent="0.55000000000000004">
      <c r="A48" s="16" t="s">
        <v>142</v>
      </c>
      <c r="B48" s="17">
        <v>44</v>
      </c>
      <c r="C48" s="17" t="s">
        <v>20</v>
      </c>
      <c r="D48" s="17" t="s">
        <v>20</v>
      </c>
      <c r="E48" s="17">
        <v>150</v>
      </c>
      <c r="F48" s="18" t="s">
        <v>29</v>
      </c>
      <c r="G48" s="19"/>
      <c r="H48" s="20" t="s">
        <v>62</v>
      </c>
      <c r="I48" s="20"/>
      <c r="J48" s="19" t="s">
        <v>143</v>
      </c>
      <c r="K48" s="16" t="s">
        <v>16</v>
      </c>
      <c r="L48" s="19">
        <v>1</v>
      </c>
      <c r="M48" s="21" t="str">
        <f t="shared" si="0"/>
        <v>X</v>
      </c>
      <c r="N48" s="21" t="str">
        <f t="shared" si="1"/>
        <v>X</v>
      </c>
      <c r="O48" s="34" t="str">
        <f t="shared" si="2"/>
        <v>X</v>
      </c>
    </row>
    <row r="49" spans="1:26" ht="14.25" customHeight="1" x14ac:dyDescent="0.55000000000000004">
      <c r="A49" s="16" t="s">
        <v>144</v>
      </c>
      <c r="B49" s="17">
        <v>45</v>
      </c>
      <c r="C49" s="17" t="s">
        <v>20</v>
      </c>
      <c r="D49" s="17" t="s">
        <v>20</v>
      </c>
      <c r="E49" s="17">
        <v>40</v>
      </c>
      <c r="F49" s="18" t="s">
        <v>29</v>
      </c>
      <c r="G49" s="19"/>
      <c r="H49" s="20" t="s">
        <v>33</v>
      </c>
      <c r="I49" s="20"/>
      <c r="J49" s="35" t="s">
        <v>145</v>
      </c>
      <c r="K49" s="16" t="s">
        <v>16</v>
      </c>
      <c r="L49" s="19">
        <v>1</v>
      </c>
      <c r="M49" s="21" t="str">
        <f t="shared" si="0"/>
        <v>X</v>
      </c>
      <c r="N49" s="21" t="str">
        <f t="shared" si="1"/>
        <v>X</v>
      </c>
      <c r="O49" s="34" t="str">
        <f t="shared" si="2"/>
        <v>X</v>
      </c>
    </row>
    <row r="50" spans="1:26" ht="14.25" customHeight="1" x14ac:dyDescent="0.55000000000000004">
      <c r="A50" s="16" t="s">
        <v>146</v>
      </c>
      <c r="B50" s="17">
        <v>46</v>
      </c>
      <c r="C50" s="17" t="s">
        <v>20</v>
      </c>
      <c r="D50" s="17" t="s">
        <v>20</v>
      </c>
      <c r="E50" s="17">
        <v>50</v>
      </c>
      <c r="F50" s="18" t="s">
        <v>29</v>
      </c>
      <c r="G50" s="19"/>
      <c r="H50" s="20" t="s">
        <v>62</v>
      </c>
      <c r="I50" s="20" t="s">
        <v>77</v>
      </c>
      <c r="J50" s="35" t="s">
        <v>147</v>
      </c>
      <c r="K50" s="16" t="s">
        <v>16</v>
      </c>
      <c r="L50" s="19">
        <v>1</v>
      </c>
      <c r="M50" s="21" t="str">
        <f t="shared" si="0"/>
        <v>X</v>
      </c>
      <c r="N50" s="21" t="str">
        <f t="shared" si="1"/>
        <v>X</v>
      </c>
      <c r="O50" s="34" t="str">
        <f t="shared" si="2"/>
        <v>X</v>
      </c>
    </row>
    <row r="51" spans="1:26" ht="14.25" customHeight="1" x14ac:dyDescent="0.55000000000000004">
      <c r="A51" s="16" t="s">
        <v>148</v>
      </c>
      <c r="B51" s="17">
        <v>47</v>
      </c>
      <c r="C51" s="17" t="s">
        <v>20</v>
      </c>
      <c r="D51" s="17" t="s">
        <v>79</v>
      </c>
      <c r="E51" s="17">
        <v>4</v>
      </c>
      <c r="F51" s="18" t="s">
        <v>29</v>
      </c>
      <c r="G51" s="19"/>
      <c r="H51" s="20" t="s">
        <v>62</v>
      </c>
      <c r="I51" s="20"/>
      <c r="J51" s="19">
        <v>5422</v>
      </c>
      <c r="K51" s="16" t="s">
        <v>16</v>
      </c>
      <c r="L51" s="19">
        <v>1</v>
      </c>
      <c r="M51" s="21" t="str">
        <f t="shared" si="0"/>
        <v>X</v>
      </c>
      <c r="N51" s="47" t="str">
        <f t="shared" si="1"/>
        <v>X</v>
      </c>
      <c r="O51" s="48" t="str">
        <f t="shared" si="2"/>
        <v>X</v>
      </c>
    </row>
    <row r="52" spans="1:26" ht="14.25" customHeight="1" x14ac:dyDescent="0.55000000000000004">
      <c r="A52" s="16" t="s">
        <v>149</v>
      </c>
      <c r="B52" s="17">
        <v>48</v>
      </c>
      <c r="C52" s="17" t="s">
        <v>20</v>
      </c>
      <c r="D52" s="17" t="s">
        <v>20</v>
      </c>
      <c r="E52" s="17">
        <v>3</v>
      </c>
      <c r="F52" s="18" t="s">
        <v>29</v>
      </c>
      <c r="G52" s="19"/>
      <c r="H52" s="20" t="s">
        <v>33</v>
      </c>
      <c r="I52" s="20"/>
      <c r="J52" s="35" t="s">
        <v>83</v>
      </c>
      <c r="K52" s="16" t="s">
        <v>16</v>
      </c>
      <c r="L52" s="19">
        <v>1</v>
      </c>
      <c r="M52" s="21" t="str">
        <f t="shared" si="0"/>
        <v>X</v>
      </c>
      <c r="N52" s="21" t="str">
        <f t="shared" si="1"/>
        <v>X</v>
      </c>
      <c r="O52" s="34" t="str">
        <f t="shared" si="2"/>
        <v>X</v>
      </c>
    </row>
    <row r="53" spans="1:26" ht="14.25" customHeight="1" x14ac:dyDescent="0.55000000000000004">
      <c r="A53" s="16" t="s">
        <v>150</v>
      </c>
      <c r="B53" s="17">
        <v>49</v>
      </c>
      <c r="C53" s="17" t="s">
        <v>20</v>
      </c>
      <c r="D53" s="17" t="s">
        <v>20</v>
      </c>
      <c r="E53" s="17">
        <v>55</v>
      </c>
      <c r="F53" s="18" t="s">
        <v>29</v>
      </c>
      <c r="G53" s="19"/>
      <c r="H53" s="20" t="s">
        <v>62</v>
      </c>
      <c r="I53" s="20" t="s">
        <v>74</v>
      </c>
      <c r="J53" s="19" t="s">
        <v>151</v>
      </c>
      <c r="K53" s="16" t="s">
        <v>16</v>
      </c>
      <c r="L53" s="19">
        <v>1</v>
      </c>
      <c r="M53" s="21" t="str">
        <f t="shared" si="0"/>
        <v>X</v>
      </c>
      <c r="N53" s="21" t="str">
        <f t="shared" si="1"/>
        <v>X</v>
      </c>
      <c r="O53" s="34" t="str">
        <f t="shared" si="2"/>
        <v>X</v>
      </c>
    </row>
    <row r="54" spans="1:26" ht="14.25" customHeight="1" x14ac:dyDescent="0.55000000000000004">
      <c r="A54" s="16" t="s">
        <v>152</v>
      </c>
      <c r="B54" s="17">
        <v>50</v>
      </c>
      <c r="C54" s="17" t="s">
        <v>20</v>
      </c>
      <c r="D54" s="17" t="s">
        <v>20</v>
      </c>
      <c r="E54" s="17">
        <v>65</v>
      </c>
      <c r="F54" s="18" t="s">
        <v>29</v>
      </c>
      <c r="G54" s="19"/>
      <c r="H54" s="20" t="s">
        <v>33</v>
      </c>
      <c r="I54" s="20"/>
      <c r="J54" s="19" t="s">
        <v>153</v>
      </c>
      <c r="K54" s="16" t="s">
        <v>16</v>
      </c>
      <c r="L54" s="19">
        <f t="shared" ref="L54:L213" si="3">IF(K54="Public",1,IF(K54="FOUO (CUI)",2,IF(K54="Sensitive (CUI)",3,IF(K54="System-Only",4))))</f>
        <v>1</v>
      </c>
      <c r="M54" s="21" t="str">
        <f t="shared" si="0"/>
        <v>X</v>
      </c>
      <c r="N54" s="21" t="str">
        <f t="shared" si="1"/>
        <v>X</v>
      </c>
      <c r="O54" s="34" t="str">
        <f t="shared" si="2"/>
        <v>X</v>
      </c>
    </row>
    <row r="55" spans="1:26" ht="14.25" customHeight="1" x14ac:dyDescent="0.55000000000000004">
      <c r="A55" s="16" t="s">
        <v>154</v>
      </c>
      <c r="B55" s="17">
        <v>51</v>
      </c>
      <c r="C55" s="17" t="s">
        <v>20</v>
      </c>
      <c r="D55" s="17" t="s">
        <v>20</v>
      </c>
      <c r="E55" s="17">
        <v>3</v>
      </c>
      <c r="F55" s="18" t="s">
        <v>29</v>
      </c>
      <c r="G55" s="19"/>
      <c r="H55" s="20" t="s">
        <v>62</v>
      </c>
      <c r="I55" s="20"/>
      <c r="J55" s="19" t="s">
        <v>42</v>
      </c>
      <c r="K55" s="16" t="s">
        <v>16</v>
      </c>
      <c r="L55" s="19">
        <f t="shared" si="3"/>
        <v>1</v>
      </c>
      <c r="M55" s="21" t="str">
        <f t="shared" si="0"/>
        <v>X</v>
      </c>
      <c r="N55" s="21" t="str">
        <f t="shared" si="1"/>
        <v>X</v>
      </c>
      <c r="O55" s="34" t="str">
        <f t="shared" si="2"/>
        <v>X</v>
      </c>
    </row>
    <row r="56" spans="1:26" ht="14.25" customHeight="1" x14ac:dyDescent="0.55000000000000004">
      <c r="A56" s="16" t="s">
        <v>155</v>
      </c>
      <c r="B56" s="17">
        <v>52</v>
      </c>
      <c r="C56" s="17" t="s">
        <v>20</v>
      </c>
      <c r="D56" s="17" t="s">
        <v>20</v>
      </c>
      <c r="E56" s="17">
        <v>65</v>
      </c>
      <c r="F56" s="18" t="s">
        <v>29</v>
      </c>
      <c r="G56" s="19"/>
      <c r="H56" s="20" t="s">
        <v>33</v>
      </c>
      <c r="I56" s="20"/>
      <c r="J56" s="19" t="s">
        <v>156</v>
      </c>
      <c r="K56" s="16" t="s">
        <v>16</v>
      </c>
      <c r="L56" s="19">
        <f t="shared" si="3"/>
        <v>1</v>
      </c>
      <c r="M56" s="21" t="str">
        <f t="shared" si="0"/>
        <v>X</v>
      </c>
      <c r="N56" s="21" t="str">
        <f t="shared" si="1"/>
        <v>X</v>
      </c>
      <c r="O56" s="34" t="str">
        <f t="shared" si="2"/>
        <v>X</v>
      </c>
    </row>
    <row r="57" spans="1:26" s="155" customFormat="1" ht="14.25" customHeight="1" x14ac:dyDescent="0.55000000000000004">
      <c r="A57" s="147" t="s">
        <v>157</v>
      </c>
      <c r="B57" s="148">
        <v>53</v>
      </c>
      <c r="C57" s="148" t="s">
        <v>20</v>
      </c>
      <c r="D57" s="148" t="s">
        <v>20</v>
      </c>
      <c r="E57" s="148">
        <v>50</v>
      </c>
      <c r="F57" s="149" t="s">
        <v>29</v>
      </c>
      <c r="G57" s="150"/>
      <c r="H57" s="151" t="s">
        <v>62</v>
      </c>
      <c r="I57" s="151"/>
      <c r="J57" s="150" t="s">
        <v>158</v>
      </c>
      <c r="K57" s="147" t="s">
        <v>16</v>
      </c>
      <c r="L57" s="150">
        <f t="shared" si="3"/>
        <v>1</v>
      </c>
      <c r="M57" s="152" t="str">
        <f t="shared" si="0"/>
        <v>X</v>
      </c>
      <c r="N57" s="152" t="str">
        <f t="shared" si="1"/>
        <v>X</v>
      </c>
      <c r="O57" s="153" t="str">
        <f t="shared" si="2"/>
        <v>X</v>
      </c>
      <c r="P57" s="154"/>
      <c r="Q57" s="154"/>
      <c r="R57" s="154"/>
      <c r="S57" s="154"/>
      <c r="T57" s="154"/>
      <c r="U57" s="154"/>
      <c r="V57" s="154"/>
      <c r="W57" s="154"/>
      <c r="X57" s="154"/>
      <c r="Y57" s="154"/>
      <c r="Z57" s="154"/>
    </row>
    <row r="58" spans="1:26" ht="14.25" customHeight="1" x14ac:dyDescent="0.55000000000000004">
      <c r="A58" s="16" t="s">
        <v>159</v>
      </c>
      <c r="B58" s="17">
        <v>54</v>
      </c>
      <c r="C58" s="17" t="s">
        <v>20</v>
      </c>
      <c r="D58" s="17" t="s">
        <v>20</v>
      </c>
      <c r="E58" s="17">
        <v>150</v>
      </c>
      <c r="F58" s="18" t="s">
        <v>29</v>
      </c>
      <c r="G58" s="19"/>
      <c r="H58" s="20" t="s">
        <v>33</v>
      </c>
      <c r="I58" s="20"/>
      <c r="J58" s="19" t="s">
        <v>160</v>
      </c>
      <c r="K58" s="16" t="s">
        <v>16</v>
      </c>
      <c r="L58" s="19">
        <f t="shared" si="3"/>
        <v>1</v>
      </c>
      <c r="M58" s="21" t="str">
        <f t="shared" si="0"/>
        <v>X</v>
      </c>
      <c r="N58" s="21" t="str">
        <f t="shared" si="1"/>
        <v>X</v>
      </c>
      <c r="O58" s="34" t="str">
        <f t="shared" si="2"/>
        <v>X</v>
      </c>
    </row>
    <row r="59" spans="1:26" ht="14.25" customHeight="1" x14ac:dyDescent="0.55000000000000004">
      <c r="A59" s="16" t="s">
        <v>161</v>
      </c>
      <c r="B59" s="17">
        <v>55</v>
      </c>
      <c r="C59" s="17" t="s">
        <v>20</v>
      </c>
      <c r="D59" s="17" t="s">
        <v>20</v>
      </c>
      <c r="E59" s="17">
        <v>150</v>
      </c>
      <c r="F59" s="18" t="s">
        <v>29</v>
      </c>
      <c r="G59" s="19"/>
      <c r="H59" s="20" t="s">
        <v>62</v>
      </c>
      <c r="I59" s="20"/>
      <c r="J59" s="19" t="s">
        <v>162</v>
      </c>
      <c r="K59" s="16" t="s">
        <v>16</v>
      </c>
      <c r="L59" s="19">
        <f t="shared" si="3"/>
        <v>1</v>
      </c>
      <c r="M59" s="21" t="str">
        <f t="shared" si="0"/>
        <v>X</v>
      </c>
      <c r="N59" s="21" t="str">
        <f t="shared" si="1"/>
        <v>X</v>
      </c>
      <c r="O59" s="34" t="str">
        <f t="shared" si="2"/>
        <v>X</v>
      </c>
    </row>
    <row r="60" spans="1:26" ht="14.25" customHeight="1" x14ac:dyDescent="0.55000000000000004">
      <c r="A60" s="16" t="s">
        <v>163</v>
      </c>
      <c r="B60" s="17">
        <v>56</v>
      </c>
      <c r="C60" s="17" t="s">
        <v>20</v>
      </c>
      <c r="D60" s="17" t="s">
        <v>20</v>
      </c>
      <c r="E60" s="17">
        <v>40</v>
      </c>
      <c r="F60" s="18" t="s">
        <v>29</v>
      </c>
      <c r="G60" s="19"/>
      <c r="H60" s="20" t="s">
        <v>33</v>
      </c>
      <c r="I60" s="20"/>
      <c r="J60" s="19" t="s">
        <v>164</v>
      </c>
      <c r="K60" s="16" t="s">
        <v>16</v>
      </c>
      <c r="L60" s="19">
        <f t="shared" si="3"/>
        <v>1</v>
      </c>
      <c r="M60" s="21" t="str">
        <f t="shared" si="0"/>
        <v>X</v>
      </c>
      <c r="N60" s="21" t="str">
        <f t="shared" si="1"/>
        <v>X</v>
      </c>
      <c r="O60" s="34" t="str">
        <f t="shared" si="2"/>
        <v>X</v>
      </c>
    </row>
    <row r="61" spans="1:26" ht="14.25" customHeight="1" x14ac:dyDescent="0.55000000000000004">
      <c r="A61" s="16" t="s">
        <v>165</v>
      </c>
      <c r="B61" s="17">
        <v>57</v>
      </c>
      <c r="C61" s="17" t="s">
        <v>20</v>
      </c>
      <c r="D61" s="17" t="s">
        <v>20</v>
      </c>
      <c r="E61" s="17">
        <v>50</v>
      </c>
      <c r="F61" s="18" t="s">
        <v>29</v>
      </c>
      <c r="G61" s="19"/>
      <c r="H61" s="20" t="s">
        <v>62</v>
      </c>
      <c r="I61" s="20" t="s">
        <v>77</v>
      </c>
      <c r="J61" s="19" t="s">
        <v>166</v>
      </c>
      <c r="K61" s="16" t="s">
        <v>16</v>
      </c>
      <c r="L61" s="19">
        <f t="shared" si="3"/>
        <v>1</v>
      </c>
      <c r="M61" s="21" t="str">
        <f t="shared" si="0"/>
        <v>X</v>
      </c>
      <c r="N61" s="21" t="str">
        <f t="shared" si="1"/>
        <v>X</v>
      </c>
      <c r="O61" s="34" t="str">
        <f t="shared" si="2"/>
        <v>X</v>
      </c>
    </row>
    <row r="62" spans="1:26" ht="14.25" customHeight="1" x14ac:dyDescent="0.55000000000000004">
      <c r="A62" s="16" t="s">
        <v>167</v>
      </c>
      <c r="B62" s="17">
        <v>58</v>
      </c>
      <c r="C62" s="17" t="s">
        <v>20</v>
      </c>
      <c r="D62" s="17" t="s">
        <v>79</v>
      </c>
      <c r="E62" s="17">
        <v>4</v>
      </c>
      <c r="F62" s="18" t="s">
        <v>29</v>
      </c>
      <c r="G62" s="19"/>
      <c r="H62" s="20" t="s">
        <v>62</v>
      </c>
      <c r="I62" s="20"/>
      <c r="J62" s="19" t="s">
        <v>168</v>
      </c>
      <c r="K62" s="16" t="s">
        <v>16</v>
      </c>
      <c r="L62" s="19">
        <f t="shared" si="3"/>
        <v>1</v>
      </c>
      <c r="M62" s="21" t="str">
        <f t="shared" si="0"/>
        <v>X</v>
      </c>
      <c r="N62" s="47" t="str">
        <f t="shared" si="1"/>
        <v>X</v>
      </c>
      <c r="O62" s="48" t="str">
        <f t="shared" si="2"/>
        <v>X</v>
      </c>
    </row>
    <row r="63" spans="1:26" ht="14.25" customHeight="1" x14ac:dyDescent="0.55000000000000004">
      <c r="A63" s="16" t="s">
        <v>169</v>
      </c>
      <c r="B63" s="17">
        <v>59</v>
      </c>
      <c r="C63" s="17" t="s">
        <v>20</v>
      </c>
      <c r="D63" s="17" t="s">
        <v>20</v>
      </c>
      <c r="E63" s="17">
        <v>3</v>
      </c>
      <c r="F63" s="18" t="s">
        <v>29</v>
      </c>
      <c r="G63" s="19"/>
      <c r="H63" s="20" t="s">
        <v>33</v>
      </c>
      <c r="I63" s="20"/>
      <c r="J63" s="19" t="s">
        <v>83</v>
      </c>
      <c r="K63" s="16" t="s">
        <v>16</v>
      </c>
      <c r="L63" s="19">
        <f t="shared" si="3"/>
        <v>1</v>
      </c>
      <c r="M63" s="21" t="str">
        <f t="shared" si="0"/>
        <v>X</v>
      </c>
      <c r="N63" s="21" t="str">
        <f t="shared" si="1"/>
        <v>X</v>
      </c>
      <c r="O63" s="34" t="str">
        <f t="shared" si="2"/>
        <v>X</v>
      </c>
    </row>
    <row r="64" spans="1:26" ht="14.25" customHeight="1" x14ac:dyDescent="0.55000000000000004">
      <c r="A64" s="16" t="s">
        <v>170</v>
      </c>
      <c r="B64" s="17">
        <v>60</v>
      </c>
      <c r="C64" s="17" t="s">
        <v>20</v>
      </c>
      <c r="D64" s="17" t="s">
        <v>20</v>
      </c>
      <c r="E64" s="17">
        <v>55</v>
      </c>
      <c r="F64" s="18" t="s">
        <v>29</v>
      </c>
      <c r="G64" s="19"/>
      <c r="H64" s="20" t="s">
        <v>62</v>
      </c>
      <c r="I64" s="20" t="s">
        <v>77</v>
      </c>
      <c r="J64" s="19" t="s">
        <v>171</v>
      </c>
      <c r="K64" s="16" t="s">
        <v>16</v>
      </c>
      <c r="L64" s="19">
        <f t="shared" si="3"/>
        <v>1</v>
      </c>
      <c r="M64" s="21" t="str">
        <f t="shared" si="0"/>
        <v>X</v>
      </c>
      <c r="N64" s="21" t="str">
        <f t="shared" si="1"/>
        <v>X</v>
      </c>
      <c r="O64" s="34" t="str">
        <f t="shared" si="2"/>
        <v>X</v>
      </c>
    </row>
    <row r="65" spans="1:15" ht="14.25" customHeight="1" x14ac:dyDescent="0.55000000000000004">
      <c r="A65" s="16" t="s">
        <v>172</v>
      </c>
      <c r="B65" s="17">
        <v>61</v>
      </c>
      <c r="C65" s="17" t="s">
        <v>20</v>
      </c>
      <c r="D65" s="17" t="s">
        <v>79</v>
      </c>
      <c r="E65" s="17">
        <v>30</v>
      </c>
      <c r="F65" s="18" t="s">
        <v>29</v>
      </c>
      <c r="G65" s="19"/>
      <c r="H65" s="20" t="s">
        <v>62</v>
      </c>
      <c r="I65" s="20" t="s">
        <v>77</v>
      </c>
      <c r="J65" s="19" t="s">
        <v>173</v>
      </c>
      <c r="K65" s="16" t="s">
        <v>17</v>
      </c>
      <c r="L65" s="19">
        <f t="shared" si="3"/>
        <v>2</v>
      </c>
      <c r="M65" s="21" t="str">
        <f t="shared" si="0"/>
        <v/>
      </c>
      <c r="N65" s="21" t="str">
        <f t="shared" si="1"/>
        <v>X</v>
      </c>
      <c r="O65" s="34" t="str">
        <f t="shared" si="2"/>
        <v>X</v>
      </c>
    </row>
    <row r="66" spans="1:15" ht="14.25" customHeight="1" x14ac:dyDescent="0.55000000000000004">
      <c r="A66" s="16" t="s">
        <v>174</v>
      </c>
      <c r="B66" s="17">
        <v>62</v>
      </c>
      <c r="C66" s="17" t="s">
        <v>20</v>
      </c>
      <c r="D66" s="17" t="s">
        <v>20</v>
      </c>
      <c r="E66" s="17">
        <v>25</v>
      </c>
      <c r="F66" s="18" t="s">
        <v>29</v>
      </c>
      <c r="G66" s="19"/>
      <c r="H66" s="20" t="s">
        <v>62</v>
      </c>
      <c r="I66" s="20"/>
      <c r="J66" s="19" t="s">
        <v>175</v>
      </c>
      <c r="K66" s="16" t="s">
        <v>17</v>
      </c>
      <c r="L66" s="19">
        <f t="shared" si="3"/>
        <v>2</v>
      </c>
      <c r="M66" s="21" t="str">
        <f t="shared" si="0"/>
        <v/>
      </c>
      <c r="N66" s="21" t="str">
        <f t="shared" si="1"/>
        <v>X</v>
      </c>
      <c r="O66" s="34" t="str">
        <f t="shared" si="2"/>
        <v>X</v>
      </c>
    </row>
    <row r="67" spans="1:15" ht="14.25" customHeight="1" x14ac:dyDescent="0.55000000000000004">
      <c r="A67" s="16" t="s">
        <v>176</v>
      </c>
      <c r="B67" s="17">
        <v>63</v>
      </c>
      <c r="C67" s="17" t="s">
        <v>20</v>
      </c>
      <c r="D67" s="17" t="s">
        <v>20</v>
      </c>
      <c r="E67" s="17">
        <v>30</v>
      </c>
      <c r="F67" s="18" t="s">
        <v>29</v>
      </c>
      <c r="G67" s="19"/>
      <c r="H67" s="20" t="s">
        <v>62</v>
      </c>
      <c r="I67" s="20" t="s">
        <v>177</v>
      </c>
      <c r="J67" s="49" t="s">
        <v>178</v>
      </c>
      <c r="K67" s="16" t="s">
        <v>17</v>
      </c>
      <c r="L67" s="19">
        <f t="shared" si="3"/>
        <v>2</v>
      </c>
      <c r="M67" s="21" t="str">
        <f t="shared" si="0"/>
        <v/>
      </c>
      <c r="N67" s="21" t="str">
        <f t="shared" si="1"/>
        <v>X</v>
      </c>
      <c r="O67" s="34" t="str">
        <f t="shared" si="2"/>
        <v>X</v>
      </c>
    </row>
    <row r="68" spans="1:15" ht="14.25" customHeight="1" x14ac:dyDescent="0.55000000000000004">
      <c r="A68" s="16" t="s">
        <v>179</v>
      </c>
      <c r="B68" s="17">
        <v>64</v>
      </c>
      <c r="C68" s="17" t="s">
        <v>20</v>
      </c>
      <c r="D68" s="17" t="s">
        <v>20</v>
      </c>
      <c r="E68" s="17">
        <v>30</v>
      </c>
      <c r="F68" s="18" t="s">
        <v>29</v>
      </c>
      <c r="G68" s="19"/>
      <c r="H68" s="20" t="s">
        <v>62</v>
      </c>
      <c r="I68" s="20"/>
      <c r="J68" s="19" t="s">
        <v>180</v>
      </c>
      <c r="K68" s="16" t="s">
        <v>17</v>
      </c>
      <c r="L68" s="19">
        <f t="shared" si="3"/>
        <v>2</v>
      </c>
      <c r="M68" s="21" t="str">
        <f t="shared" si="0"/>
        <v/>
      </c>
      <c r="N68" s="21" t="str">
        <f t="shared" si="1"/>
        <v>X</v>
      </c>
      <c r="O68" s="34" t="str">
        <f t="shared" si="2"/>
        <v>X</v>
      </c>
    </row>
    <row r="69" spans="1:15" ht="14.25" customHeight="1" x14ac:dyDescent="0.55000000000000004">
      <c r="A69" s="16" t="s">
        <v>181</v>
      </c>
      <c r="B69" s="17">
        <v>65</v>
      </c>
      <c r="C69" s="17" t="s">
        <v>20</v>
      </c>
      <c r="D69" s="17" t="s">
        <v>20</v>
      </c>
      <c r="E69" s="17">
        <v>80</v>
      </c>
      <c r="F69" s="18" t="s">
        <v>29</v>
      </c>
      <c r="G69" s="19"/>
      <c r="H69" s="20" t="s">
        <v>33</v>
      </c>
      <c r="I69" s="20"/>
      <c r="J69" s="19" t="s">
        <v>182</v>
      </c>
      <c r="K69" s="16" t="s">
        <v>17</v>
      </c>
      <c r="L69" s="19">
        <f t="shared" si="3"/>
        <v>2</v>
      </c>
      <c r="M69" s="21" t="str">
        <f t="shared" si="0"/>
        <v/>
      </c>
      <c r="N69" s="21" t="str">
        <f t="shared" si="1"/>
        <v>X</v>
      </c>
      <c r="O69" s="34" t="str">
        <f t="shared" si="2"/>
        <v>X</v>
      </c>
    </row>
    <row r="70" spans="1:15" ht="14.25" customHeight="1" x14ac:dyDescent="0.55000000000000004">
      <c r="A70" s="16" t="s">
        <v>183</v>
      </c>
      <c r="B70" s="17">
        <v>66</v>
      </c>
      <c r="C70" s="17" t="s">
        <v>20</v>
      </c>
      <c r="D70" s="17" t="s">
        <v>20</v>
      </c>
      <c r="E70" s="17">
        <v>65</v>
      </c>
      <c r="F70" s="18" t="s">
        <v>29</v>
      </c>
      <c r="G70" s="19"/>
      <c r="H70" s="20" t="s">
        <v>62</v>
      </c>
      <c r="I70" s="20"/>
      <c r="J70" s="19" t="s">
        <v>153</v>
      </c>
      <c r="K70" s="16" t="s">
        <v>16</v>
      </c>
      <c r="L70" s="19">
        <f t="shared" si="3"/>
        <v>1</v>
      </c>
      <c r="M70" s="21" t="str">
        <f t="shared" si="0"/>
        <v>X</v>
      </c>
      <c r="N70" s="21" t="str">
        <f t="shared" si="1"/>
        <v>X</v>
      </c>
      <c r="O70" s="34" t="str">
        <f t="shared" si="2"/>
        <v>X</v>
      </c>
    </row>
    <row r="71" spans="1:15" ht="14.25" customHeight="1" x14ac:dyDescent="0.55000000000000004">
      <c r="A71" s="16" t="s">
        <v>184</v>
      </c>
      <c r="B71" s="17">
        <v>67</v>
      </c>
      <c r="C71" s="17" t="s">
        <v>20</v>
      </c>
      <c r="D71" s="17" t="s">
        <v>20</v>
      </c>
      <c r="E71" s="17">
        <v>3</v>
      </c>
      <c r="F71" s="18" t="s">
        <v>29</v>
      </c>
      <c r="G71" s="19"/>
      <c r="H71" s="20" t="s">
        <v>62</v>
      </c>
      <c r="I71" s="20"/>
      <c r="J71" s="19" t="s">
        <v>42</v>
      </c>
      <c r="K71" s="16" t="s">
        <v>16</v>
      </c>
      <c r="L71" s="19">
        <f t="shared" si="3"/>
        <v>1</v>
      </c>
      <c r="M71" s="21" t="str">
        <f t="shared" si="0"/>
        <v>X</v>
      </c>
      <c r="N71" s="21" t="str">
        <f t="shared" si="1"/>
        <v>X</v>
      </c>
      <c r="O71" s="34" t="str">
        <f t="shared" si="2"/>
        <v>X</v>
      </c>
    </row>
    <row r="72" spans="1:15" ht="14.25" customHeight="1" x14ac:dyDescent="0.55000000000000004">
      <c r="A72" s="16" t="s">
        <v>185</v>
      </c>
      <c r="B72" s="17">
        <v>68</v>
      </c>
      <c r="C72" s="17" t="s">
        <v>20</v>
      </c>
      <c r="D72" s="17" t="s">
        <v>20</v>
      </c>
      <c r="E72" s="17">
        <v>65</v>
      </c>
      <c r="F72" s="18" t="s">
        <v>29</v>
      </c>
      <c r="G72" s="19"/>
      <c r="H72" s="20" t="s">
        <v>62</v>
      </c>
      <c r="I72" s="20"/>
      <c r="J72" s="19" t="s">
        <v>156</v>
      </c>
      <c r="K72" s="16" t="s">
        <v>16</v>
      </c>
      <c r="L72" s="19">
        <f t="shared" si="3"/>
        <v>1</v>
      </c>
      <c r="M72" s="21" t="str">
        <f t="shared" si="0"/>
        <v>X</v>
      </c>
      <c r="N72" s="21" t="str">
        <f t="shared" si="1"/>
        <v>X</v>
      </c>
      <c r="O72" s="34" t="str">
        <f t="shared" si="2"/>
        <v>X</v>
      </c>
    </row>
    <row r="73" spans="1:15" ht="14.25" customHeight="1" x14ac:dyDescent="0.55000000000000004">
      <c r="A73" s="16" t="s">
        <v>186</v>
      </c>
      <c r="B73" s="17">
        <v>69</v>
      </c>
      <c r="C73" s="17" t="s">
        <v>20</v>
      </c>
      <c r="D73" s="17" t="s">
        <v>20</v>
      </c>
      <c r="E73" s="17">
        <v>50</v>
      </c>
      <c r="F73" s="18" t="s">
        <v>29</v>
      </c>
      <c r="G73" s="19"/>
      <c r="H73" s="20" t="s">
        <v>62</v>
      </c>
      <c r="I73" s="20"/>
      <c r="J73" s="19" t="s">
        <v>158</v>
      </c>
      <c r="K73" s="16" t="s">
        <v>16</v>
      </c>
      <c r="L73" s="19">
        <f t="shared" si="3"/>
        <v>1</v>
      </c>
      <c r="M73" s="21" t="str">
        <f t="shared" si="0"/>
        <v>X</v>
      </c>
      <c r="N73" s="21" t="str">
        <f t="shared" si="1"/>
        <v>X</v>
      </c>
      <c r="O73" s="34" t="str">
        <f t="shared" si="2"/>
        <v>X</v>
      </c>
    </row>
    <row r="74" spans="1:15" ht="14.25" customHeight="1" x14ac:dyDescent="0.55000000000000004">
      <c r="A74" s="16" t="s">
        <v>187</v>
      </c>
      <c r="B74" s="17">
        <v>70</v>
      </c>
      <c r="C74" s="17" t="s">
        <v>20</v>
      </c>
      <c r="D74" s="17" t="s">
        <v>20</v>
      </c>
      <c r="E74" s="17">
        <v>150</v>
      </c>
      <c r="F74" s="18" t="s">
        <v>29</v>
      </c>
      <c r="G74" s="19"/>
      <c r="H74" s="20" t="s">
        <v>62</v>
      </c>
      <c r="I74" s="20"/>
      <c r="J74" s="19" t="s">
        <v>160</v>
      </c>
      <c r="K74" s="16" t="s">
        <v>16</v>
      </c>
      <c r="L74" s="19">
        <f t="shared" si="3"/>
        <v>1</v>
      </c>
      <c r="M74" s="21" t="str">
        <f t="shared" si="0"/>
        <v>X</v>
      </c>
      <c r="N74" s="21" t="str">
        <f t="shared" si="1"/>
        <v>X</v>
      </c>
      <c r="O74" s="34" t="str">
        <f t="shared" si="2"/>
        <v>X</v>
      </c>
    </row>
    <row r="75" spans="1:15" ht="14.25" customHeight="1" x14ac:dyDescent="0.55000000000000004">
      <c r="A75" s="16" t="s">
        <v>188</v>
      </c>
      <c r="B75" s="17">
        <v>71</v>
      </c>
      <c r="C75" s="17" t="s">
        <v>20</v>
      </c>
      <c r="D75" s="17" t="s">
        <v>20</v>
      </c>
      <c r="E75" s="17">
        <v>150</v>
      </c>
      <c r="F75" s="18" t="s">
        <v>29</v>
      </c>
      <c r="G75" s="19"/>
      <c r="H75" s="20" t="s">
        <v>62</v>
      </c>
      <c r="I75" s="20"/>
      <c r="J75" s="19" t="s">
        <v>162</v>
      </c>
      <c r="K75" s="16" t="s">
        <v>16</v>
      </c>
      <c r="L75" s="19">
        <f t="shared" si="3"/>
        <v>1</v>
      </c>
      <c r="M75" s="21" t="str">
        <f t="shared" si="0"/>
        <v>X</v>
      </c>
      <c r="N75" s="21" t="str">
        <f t="shared" si="1"/>
        <v>X</v>
      </c>
      <c r="O75" s="34" t="str">
        <f t="shared" si="2"/>
        <v>X</v>
      </c>
    </row>
    <row r="76" spans="1:15" ht="14.25" customHeight="1" x14ac:dyDescent="0.55000000000000004">
      <c r="A76" s="16" t="s">
        <v>189</v>
      </c>
      <c r="B76" s="17">
        <v>72</v>
      </c>
      <c r="C76" s="17" t="s">
        <v>20</v>
      </c>
      <c r="D76" s="17" t="s">
        <v>20</v>
      </c>
      <c r="E76" s="17">
        <v>40</v>
      </c>
      <c r="F76" s="18" t="s">
        <v>29</v>
      </c>
      <c r="G76" s="19"/>
      <c r="H76" s="20" t="s">
        <v>62</v>
      </c>
      <c r="I76" s="20"/>
      <c r="J76" s="19" t="s">
        <v>164</v>
      </c>
      <c r="K76" s="16" t="s">
        <v>16</v>
      </c>
      <c r="L76" s="19">
        <f t="shared" si="3"/>
        <v>1</v>
      </c>
      <c r="M76" s="21" t="str">
        <f t="shared" si="0"/>
        <v>X</v>
      </c>
      <c r="N76" s="21" t="str">
        <f t="shared" si="1"/>
        <v>X</v>
      </c>
      <c r="O76" s="34" t="str">
        <f t="shared" si="2"/>
        <v>X</v>
      </c>
    </row>
    <row r="77" spans="1:15" ht="14.25" customHeight="1" x14ac:dyDescent="0.55000000000000004">
      <c r="A77" s="16" t="s">
        <v>190</v>
      </c>
      <c r="B77" s="17">
        <v>73</v>
      </c>
      <c r="C77" s="17" t="s">
        <v>20</v>
      </c>
      <c r="D77" s="17" t="s">
        <v>20</v>
      </c>
      <c r="E77" s="17">
        <v>50</v>
      </c>
      <c r="F77" s="18" t="s">
        <v>29</v>
      </c>
      <c r="G77" s="19"/>
      <c r="H77" s="20" t="s">
        <v>62</v>
      </c>
      <c r="I77" s="20" t="s">
        <v>77</v>
      </c>
      <c r="J77" s="19" t="s">
        <v>166</v>
      </c>
      <c r="K77" s="16" t="s">
        <v>16</v>
      </c>
      <c r="L77" s="19">
        <f t="shared" si="3"/>
        <v>1</v>
      </c>
      <c r="M77" s="21" t="str">
        <f t="shared" si="0"/>
        <v>X</v>
      </c>
      <c r="N77" s="21" t="str">
        <f t="shared" si="1"/>
        <v>X</v>
      </c>
      <c r="O77" s="34" t="str">
        <f t="shared" si="2"/>
        <v>X</v>
      </c>
    </row>
    <row r="78" spans="1:15" ht="14.25" customHeight="1" x14ac:dyDescent="0.55000000000000004">
      <c r="A78" s="16" t="s">
        <v>191</v>
      </c>
      <c r="B78" s="17">
        <v>74</v>
      </c>
      <c r="C78" s="17" t="s">
        <v>20</v>
      </c>
      <c r="D78" s="17" t="s">
        <v>79</v>
      </c>
      <c r="E78" s="17">
        <v>4</v>
      </c>
      <c r="F78" s="18" t="s">
        <v>29</v>
      </c>
      <c r="G78" s="19"/>
      <c r="H78" s="20" t="s">
        <v>62</v>
      </c>
      <c r="I78" s="20"/>
      <c r="J78" s="19" t="s">
        <v>168</v>
      </c>
      <c r="K78" s="16" t="s">
        <v>16</v>
      </c>
      <c r="L78" s="19">
        <f t="shared" si="3"/>
        <v>1</v>
      </c>
      <c r="M78" s="21" t="str">
        <f t="shared" si="0"/>
        <v>X</v>
      </c>
      <c r="N78" s="47" t="str">
        <f t="shared" si="1"/>
        <v>X</v>
      </c>
      <c r="O78" s="48" t="str">
        <f t="shared" si="2"/>
        <v>X</v>
      </c>
    </row>
    <row r="79" spans="1:15" ht="14.25" customHeight="1" x14ac:dyDescent="0.55000000000000004">
      <c r="A79" s="16" t="s">
        <v>192</v>
      </c>
      <c r="B79" s="17">
        <v>75</v>
      </c>
      <c r="C79" s="17" t="s">
        <v>20</v>
      </c>
      <c r="D79" s="17" t="s">
        <v>20</v>
      </c>
      <c r="E79" s="17">
        <v>3</v>
      </c>
      <c r="F79" s="18" t="s">
        <v>29</v>
      </c>
      <c r="G79" s="19"/>
      <c r="H79" s="20" t="s">
        <v>62</v>
      </c>
      <c r="I79" s="20"/>
      <c r="J79" s="19" t="s">
        <v>83</v>
      </c>
      <c r="K79" s="16" t="s">
        <v>16</v>
      </c>
      <c r="L79" s="19">
        <f t="shared" si="3"/>
        <v>1</v>
      </c>
      <c r="M79" s="21" t="str">
        <f t="shared" si="0"/>
        <v>X</v>
      </c>
      <c r="N79" s="21" t="str">
        <f t="shared" si="1"/>
        <v>X</v>
      </c>
      <c r="O79" s="34" t="str">
        <f t="shared" si="2"/>
        <v>X</v>
      </c>
    </row>
    <row r="80" spans="1:15" ht="14.25" customHeight="1" x14ac:dyDescent="0.55000000000000004">
      <c r="A80" s="16" t="s">
        <v>193</v>
      </c>
      <c r="B80" s="17">
        <v>76</v>
      </c>
      <c r="C80" s="17" t="s">
        <v>20</v>
      </c>
      <c r="D80" s="17" t="s">
        <v>20</v>
      </c>
      <c r="E80" s="17">
        <v>55</v>
      </c>
      <c r="F80" s="18" t="s">
        <v>29</v>
      </c>
      <c r="G80" s="19"/>
      <c r="H80" s="20" t="s">
        <v>62</v>
      </c>
      <c r="I80" s="20" t="s">
        <v>74</v>
      </c>
      <c r="J80" s="19" t="s">
        <v>171</v>
      </c>
      <c r="K80" s="16" t="s">
        <v>16</v>
      </c>
      <c r="L80" s="19">
        <f t="shared" si="3"/>
        <v>1</v>
      </c>
      <c r="M80" s="21" t="str">
        <f t="shared" si="0"/>
        <v>X</v>
      </c>
      <c r="N80" s="21" t="str">
        <f t="shared" si="1"/>
        <v>X</v>
      </c>
      <c r="O80" s="34" t="str">
        <f t="shared" si="2"/>
        <v>X</v>
      </c>
    </row>
    <row r="81" spans="1:15" ht="14.25" customHeight="1" x14ac:dyDescent="0.55000000000000004">
      <c r="A81" s="16" t="s">
        <v>194</v>
      </c>
      <c r="B81" s="17">
        <v>77</v>
      </c>
      <c r="C81" s="17" t="s">
        <v>20</v>
      </c>
      <c r="D81" s="17" t="s">
        <v>79</v>
      </c>
      <c r="E81" s="17">
        <v>30</v>
      </c>
      <c r="F81" s="18" t="s">
        <v>29</v>
      </c>
      <c r="G81" s="19"/>
      <c r="H81" s="20" t="s">
        <v>62</v>
      </c>
      <c r="I81" s="20" t="s">
        <v>77</v>
      </c>
      <c r="J81" s="19" t="s">
        <v>173</v>
      </c>
      <c r="K81" s="16" t="s">
        <v>17</v>
      </c>
      <c r="L81" s="19">
        <f t="shared" si="3"/>
        <v>2</v>
      </c>
      <c r="M81" s="21" t="str">
        <f t="shared" si="0"/>
        <v/>
      </c>
      <c r="N81" s="21" t="str">
        <f t="shared" si="1"/>
        <v>X</v>
      </c>
      <c r="O81" s="34" t="str">
        <f t="shared" si="2"/>
        <v>X</v>
      </c>
    </row>
    <row r="82" spans="1:15" ht="14.25" customHeight="1" x14ac:dyDescent="0.55000000000000004">
      <c r="A82" s="16" t="s">
        <v>195</v>
      </c>
      <c r="B82" s="17">
        <v>78</v>
      </c>
      <c r="C82" s="17" t="s">
        <v>20</v>
      </c>
      <c r="D82" s="17" t="s">
        <v>20</v>
      </c>
      <c r="E82" s="17">
        <v>25</v>
      </c>
      <c r="F82" s="18" t="s">
        <v>29</v>
      </c>
      <c r="G82" s="19"/>
      <c r="H82" s="20" t="s">
        <v>62</v>
      </c>
      <c r="I82" s="20"/>
      <c r="J82" s="19" t="s">
        <v>175</v>
      </c>
      <c r="K82" s="16" t="s">
        <v>17</v>
      </c>
      <c r="L82" s="19">
        <f t="shared" si="3"/>
        <v>2</v>
      </c>
      <c r="M82" s="21" t="str">
        <f t="shared" si="0"/>
        <v/>
      </c>
      <c r="N82" s="21" t="str">
        <f t="shared" si="1"/>
        <v>X</v>
      </c>
      <c r="O82" s="34" t="str">
        <f t="shared" si="2"/>
        <v>X</v>
      </c>
    </row>
    <row r="83" spans="1:15" ht="14.25" customHeight="1" x14ac:dyDescent="0.55000000000000004">
      <c r="A83" s="16" t="s">
        <v>196</v>
      </c>
      <c r="B83" s="17">
        <v>79</v>
      </c>
      <c r="C83" s="17" t="s">
        <v>20</v>
      </c>
      <c r="D83" s="17" t="s">
        <v>20</v>
      </c>
      <c r="E83" s="17">
        <v>30</v>
      </c>
      <c r="F83" s="18" t="s">
        <v>29</v>
      </c>
      <c r="G83" s="19"/>
      <c r="H83" s="20" t="s">
        <v>62</v>
      </c>
      <c r="I83" s="20" t="s">
        <v>177</v>
      </c>
      <c r="J83" s="19" t="s">
        <v>178</v>
      </c>
      <c r="K83" s="16" t="s">
        <v>17</v>
      </c>
      <c r="L83" s="19">
        <f t="shared" si="3"/>
        <v>2</v>
      </c>
      <c r="M83" s="21" t="str">
        <f t="shared" si="0"/>
        <v/>
      </c>
      <c r="N83" s="21" t="str">
        <f t="shared" si="1"/>
        <v>X</v>
      </c>
      <c r="O83" s="34" t="str">
        <f t="shared" si="2"/>
        <v>X</v>
      </c>
    </row>
    <row r="84" spans="1:15" ht="14.25" customHeight="1" x14ac:dyDescent="0.55000000000000004">
      <c r="A84" s="16" t="s">
        <v>197</v>
      </c>
      <c r="B84" s="17">
        <v>80</v>
      </c>
      <c r="C84" s="17" t="s">
        <v>20</v>
      </c>
      <c r="D84" s="17" t="s">
        <v>20</v>
      </c>
      <c r="E84" s="17">
        <v>30</v>
      </c>
      <c r="F84" s="18" t="s">
        <v>29</v>
      </c>
      <c r="G84" s="19"/>
      <c r="H84" s="20" t="s">
        <v>62</v>
      </c>
      <c r="I84" s="20"/>
      <c r="J84" s="19" t="s">
        <v>180</v>
      </c>
      <c r="K84" s="16" t="s">
        <v>17</v>
      </c>
      <c r="L84" s="19">
        <f t="shared" si="3"/>
        <v>2</v>
      </c>
      <c r="M84" s="21" t="str">
        <f t="shared" si="0"/>
        <v/>
      </c>
      <c r="N84" s="21" t="str">
        <f t="shared" si="1"/>
        <v>X</v>
      </c>
      <c r="O84" s="34" t="str">
        <f t="shared" si="2"/>
        <v>X</v>
      </c>
    </row>
    <row r="85" spans="1:15" ht="14.25" customHeight="1" x14ac:dyDescent="0.55000000000000004">
      <c r="A85" s="16" t="s">
        <v>198</v>
      </c>
      <c r="B85" s="17">
        <v>81</v>
      </c>
      <c r="C85" s="17" t="s">
        <v>20</v>
      </c>
      <c r="D85" s="17" t="s">
        <v>20</v>
      </c>
      <c r="E85" s="17">
        <v>80</v>
      </c>
      <c r="F85" s="18" t="s">
        <v>29</v>
      </c>
      <c r="G85" s="19"/>
      <c r="H85" s="20" t="s">
        <v>62</v>
      </c>
      <c r="I85" s="20"/>
      <c r="J85" s="19" t="s">
        <v>182</v>
      </c>
      <c r="K85" s="16" t="s">
        <v>17</v>
      </c>
      <c r="L85" s="19">
        <f t="shared" si="3"/>
        <v>2</v>
      </c>
      <c r="M85" s="21" t="str">
        <f t="shared" si="0"/>
        <v/>
      </c>
      <c r="N85" s="21" t="str">
        <f t="shared" si="1"/>
        <v>X</v>
      </c>
      <c r="O85" s="34" t="str">
        <f t="shared" si="2"/>
        <v>X</v>
      </c>
    </row>
    <row r="86" spans="1:15" ht="14.25" customHeight="1" x14ac:dyDescent="0.55000000000000004">
      <c r="A86" s="16" t="s">
        <v>199</v>
      </c>
      <c r="B86" s="17">
        <v>82</v>
      </c>
      <c r="C86" s="17" t="s">
        <v>20</v>
      </c>
      <c r="D86" s="17" t="s">
        <v>20</v>
      </c>
      <c r="E86" s="17">
        <v>65</v>
      </c>
      <c r="F86" s="18" t="s">
        <v>29</v>
      </c>
      <c r="G86" s="19"/>
      <c r="H86" s="20" t="s">
        <v>62</v>
      </c>
      <c r="I86" s="20"/>
      <c r="J86" s="19" t="s">
        <v>153</v>
      </c>
      <c r="K86" s="16" t="s">
        <v>16</v>
      </c>
      <c r="L86" s="19">
        <f t="shared" si="3"/>
        <v>1</v>
      </c>
      <c r="M86" s="21" t="str">
        <f t="shared" si="0"/>
        <v>X</v>
      </c>
      <c r="N86" s="21" t="str">
        <f t="shared" si="1"/>
        <v>X</v>
      </c>
      <c r="O86" s="34" t="str">
        <f t="shared" si="2"/>
        <v>X</v>
      </c>
    </row>
    <row r="87" spans="1:15" ht="14.25" customHeight="1" x14ac:dyDescent="0.55000000000000004">
      <c r="A87" s="16" t="s">
        <v>200</v>
      </c>
      <c r="B87" s="17">
        <v>83</v>
      </c>
      <c r="C87" s="17" t="s">
        <v>20</v>
      </c>
      <c r="D87" s="17" t="s">
        <v>20</v>
      </c>
      <c r="E87" s="17">
        <v>3</v>
      </c>
      <c r="F87" s="18" t="s">
        <v>29</v>
      </c>
      <c r="G87" s="19"/>
      <c r="H87" s="20" t="s">
        <v>62</v>
      </c>
      <c r="I87" s="20"/>
      <c r="J87" s="19" t="s">
        <v>42</v>
      </c>
      <c r="K87" s="16" t="s">
        <v>16</v>
      </c>
      <c r="L87" s="19">
        <f t="shared" si="3"/>
        <v>1</v>
      </c>
      <c r="M87" s="21" t="str">
        <f t="shared" si="0"/>
        <v>X</v>
      </c>
      <c r="N87" s="21" t="str">
        <f t="shared" si="1"/>
        <v>X</v>
      </c>
      <c r="O87" s="34" t="str">
        <f t="shared" si="2"/>
        <v>X</v>
      </c>
    </row>
    <row r="88" spans="1:15" ht="14.25" customHeight="1" x14ac:dyDescent="0.55000000000000004">
      <c r="A88" s="16" t="s">
        <v>201</v>
      </c>
      <c r="B88" s="17">
        <v>84</v>
      </c>
      <c r="C88" s="17" t="s">
        <v>20</v>
      </c>
      <c r="D88" s="17" t="s">
        <v>20</v>
      </c>
      <c r="E88" s="17">
        <v>65</v>
      </c>
      <c r="F88" s="18" t="s">
        <v>29</v>
      </c>
      <c r="G88" s="19"/>
      <c r="H88" s="20" t="s">
        <v>62</v>
      </c>
      <c r="I88" s="20"/>
      <c r="J88" s="19" t="s">
        <v>156</v>
      </c>
      <c r="K88" s="16" t="s">
        <v>16</v>
      </c>
      <c r="L88" s="19">
        <f t="shared" si="3"/>
        <v>1</v>
      </c>
      <c r="M88" s="21" t="str">
        <f t="shared" si="0"/>
        <v>X</v>
      </c>
      <c r="N88" s="21" t="str">
        <f t="shared" si="1"/>
        <v>X</v>
      </c>
      <c r="O88" s="34" t="str">
        <f t="shared" si="2"/>
        <v>X</v>
      </c>
    </row>
    <row r="89" spans="1:15" ht="14.25" customHeight="1" x14ac:dyDescent="0.55000000000000004">
      <c r="A89" s="16" t="s">
        <v>202</v>
      </c>
      <c r="B89" s="17">
        <v>85</v>
      </c>
      <c r="C89" s="17" t="s">
        <v>20</v>
      </c>
      <c r="D89" s="17" t="s">
        <v>20</v>
      </c>
      <c r="E89" s="17">
        <v>50</v>
      </c>
      <c r="F89" s="18" t="s">
        <v>29</v>
      </c>
      <c r="G89" s="19"/>
      <c r="H89" s="20" t="s">
        <v>62</v>
      </c>
      <c r="I89" s="20"/>
      <c r="J89" s="19" t="s">
        <v>158</v>
      </c>
      <c r="K89" s="16" t="s">
        <v>16</v>
      </c>
      <c r="L89" s="19">
        <f t="shared" si="3"/>
        <v>1</v>
      </c>
      <c r="M89" s="21" t="str">
        <f t="shared" si="0"/>
        <v>X</v>
      </c>
      <c r="N89" s="21" t="str">
        <f t="shared" si="1"/>
        <v>X</v>
      </c>
      <c r="O89" s="34" t="str">
        <f t="shared" si="2"/>
        <v>X</v>
      </c>
    </row>
    <row r="90" spans="1:15" ht="14.25" customHeight="1" x14ac:dyDescent="0.55000000000000004">
      <c r="A90" s="16" t="s">
        <v>203</v>
      </c>
      <c r="B90" s="17">
        <v>86</v>
      </c>
      <c r="C90" s="17" t="s">
        <v>20</v>
      </c>
      <c r="D90" s="17" t="s">
        <v>20</v>
      </c>
      <c r="E90" s="17">
        <v>150</v>
      </c>
      <c r="F90" s="18" t="s">
        <v>29</v>
      </c>
      <c r="G90" s="19"/>
      <c r="H90" s="20" t="s">
        <v>62</v>
      </c>
      <c r="I90" s="20"/>
      <c r="J90" s="19" t="s">
        <v>160</v>
      </c>
      <c r="K90" s="16" t="s">
        <v>16</v>
      </c>
      <c r="L90" s="19">
        <f t="shared" si="3"/>
        <v>1</v>
      </c>
      <c r="M90" s="21" t="str">
        <f t="shared" si="0"/>
        <v>X</v>
      </c>
      <c r="N90" s="21" t="str">
        <f t="shared" si="1"/>
        <v>X</v>
      </c>
      <c r="O90" s="34" t="str">
        <f t="shared" si="2"/>
        <v>X</v>
      </c>
    </row>
    <row r="91" spans="1:15" ht="14.25" customHeight="1" x14ac:dyDescent="0.55000000000000004">
      <c r="A91" s="16" t="s">
        <v>204</v>
      </c>
      <c r="B91" s="17">
        <v>87</v>
      </c>
      <c r="C91" s="17" t="s">
        <v>20</v>
      </c>
      <c r="D91" s="17" t="s">
        <v>20</v>
      </c>
      <c r="E91" s="17">
        <v>150</v>
      </c>
      <c r="F91" s="18" t="s">
        <v>29</v>
      </c>
      <c r="G91" s="19"/>
      <c r="H91" s="20" t="s">
        <v>62</v>
      </c>
      <c r="I91" s="20"/>
      <c r="J91" s="19" t="s">
        <v>162</v>
      </c>
      <c r="K91" s="16" t="s">
        <v>16</v>
      </c>
      <c r="L91" s="19">
        <f t="shared" si="3"/>
        <v>1</v>
      </c>
      <c r="M91" s="21" t="str">
        <f t="shared" si="0"/>
        <v>X</v>
      </c>
      <c r="N91" s="21" t="str">
        <f t="shared" si="1"/>
        <v>X</v>
      </c>
      <c r="O91" s="34" t="str">
        <f t="shared" si="2"/>
        <v>X</v>
      </c>
    </row>
    <row r="92" spans="1:15" ht="14.25" customHeight="1" x14ac:dyDescent="0.55000000000000004">
      <c r="A92" s="16" t="s">
        <v>205</v>
      </c>
      <c r="B92" s="17">
        <v>88</v>
      </c>
      <c r="C92" s="17" t="s">
        <v>20</v>
      </c>
      <c r="D92" s="17" t="s">
        <v>20</v>
      </c>
      <c r="E92" s="17">
        <v>40</v>
      </c>
      <c r="F92" s="18" t="s">
        <v>29</v>
      </c>
      <c r="G92" s="19"/>
      <c r="H92" s="20" t="s">
        <v>62</v>
      </c>
      <c r="I92" s="20"/>
      <c r="J92" s="19" t="s">
        <v>164</v>
      </c>
      <c r="K92" s="16" t="s">
        <v>16</v>
      </c>
      <c r="L92" s="19">
        <f t="shared" si="3"/>
        <v>1</v>
      </c>
      <c r="M92" s="21" t="str">
        <f t="shared" si="0"/>
        <v>X</v>
      </c>
      <c r="N92" s="21" t="str">
        <f t="shared" si="1"/>
        <v>X</v>
      </c>
      <c r="O92" s="34" t="str">
        <f t="shared" si="2"/>
        <v>X</v>
      </c>
    </row>
    <row r="93" spans="1:15" ht="14.25" customHeight="1" x14ac:dyDescent="0.55000000000000004">
      <c r="A93" s="16" t="s">
        <v>206</v>
      </c>
      <c r="B93" s="17">
        <v>89</v>
      </c>
      <c r="C93" s="17" t="s">
        <v>20</v>
      </c>
      <c r="D93" s="17" t="s">
        <v>20</v>
      </c>
      <c r="E93" s="17">
        <v>50</v>
      </c>
      <c r="F93" s="18" t="s">
        <v>29</v>
      </c>
      <c r="G93" s="19"/>
      <c r="H93" s="20" t="s">
        <v>62</v>
      </c>
      <c r="I93" s="20" t="s">
        <v>77</v>
      </c>
      <c r="J93" s="19" t="s">
        <v>166</v>
      </c>
      <c r="K93" s="16" t="s">
        <v>16</v>
      </c>
      <c r="L93" s="19">
        <f t="shared" si="3"/>
        <v>1</v>
      </c>
      <c r="M93" s="21" t="str">
        <f t="shared" si="0"/>
        <v>X</v>
      </c>
      <c r="N93" s="21" t="str">
        <f t="shared" si="1"/>
        <v>X</v>
      </c>
      <c r="O93" s="34" t="str">
        <f t="shared" si="2"/>
        <v>X</v>
      </c>
    </row>
    <row r="94" spans="1:15" ht="14.25" customHeight="1" x14ac:dyDescent="0.55000000000000004">
      <c r="A94" s="16" t="s">
        <v>207</v>
      </c>
      <c r="B94" s="17">
        <v>90</v>
      </c>
      <c r="C94" s="17" t="s">
        <v>20</v>
      </c>
      <c r="D94" s="17" t="s">
        <v>79</v>
      </c>
      <c r="E94" s="17">
        <v>4</v>
      </c>
      <c r="F94" s="18" t="s">
        <v>29</v>
      </c>
      <c r="G94" s="19"/>
      <c r="H94" s="20" t="s">
        <v>62</v>
      </c>
      <c r="I94" s="20"/>
      <c r="J94" s="19" t="s">
        <v>168</v>
      </c>
      <c r="K94" s="16" t="s">
        <v>16</v>
      </c>
      <c r="L94" s="19">
        <f t="shared" si="3"/>
        <v>1</v>
      </c>
      <c r="M94" s="21" t="str">
        <f t="shared" si="0"/>
        <v>X</v>
      </c>
      <c r="N94" s="21" t="str">
        <f t="shared" si="1"/>
        <v>X</v>
      </c>
      <c r="O94" s="34" t="str">
        <f t="shared" si="2"/>
        <v>X</v>
      </c>
    </row>
    <row r="95" spans="1:15" ht="14.25" customHeight="1" x14ac:dyDescent="0.55000000000000004">
      <c r="A95" s="16" t="s">
        <v>208</v>
      </c>
      <c r="B95" s="17">
        <v>91</v>
      </c>
      <c r="C95" s="17" t="s">
        <v>20</v>
      </c>
      <c r="D95" s="17" t="s">
        <v>20</v>
      </c>
      <c r="E95" s="17">
        <v>3</v>
      </c>
      <c r="F95" s="18" t="s">
        <v>29</v>
      </c>
      <c r="G95" s="19"/>
      <c r="H95" s="20" t="s">
        <v>62</v>
      </c>
      <c r="I95" s="20"/>
      <c r="J95" s="19" t="s">
        <v>83</v>
      </c>
      <c r="K95" s="16" t="s">
        <v>16</v>
      </c>
      <c r="L95" s="19">
        <f t="shared" si="3"/>
        <v>1</v>
      </c>
      <c r="M95" s="21" t="str">
        <f t="shared" si="0"/>
        <v>X</v>
      </c>
      <c r="N95" s="21" t="str">
        <f t="shared" si="1"/>
        <v>X</v>
      </c>
      <c r="O95" s="34" t="str">
        <f t="shared" si="2"/>
        <v>X</v>
      </c>
    </row>
    <row r="96" spans="1:15" ht="14.25" customHeight="1" x14ac:dyDescent="0.55000000000000004">
      <c r="A96" s="16" t="s">
        <v>209</v>
      </c>
      <c r="B96" s="17">
        <v>92</v>
      </c>
      <c r="C96" s="17" t="s">
        <v>20</v>
      </c>
      <c r="D96" s="17" t="s">
        <v>20</v>
      </c>
      <c r="E96" s="17">
        <v>55</v>
      </c>
      <c r="F96" s="18" t="s">
        <v>29</v>
      </c>
      <c r="G96" s="19"/>
      <c r="H96" s="20" t="s">
        <v>62</v>
      </c>
      <c r="I96" s="20" t="s">
        <v>74</v>
      </c>
      <c r="J96" s="19" t="s">
        <v>171</v>
      </c>
      <c r="K96" s="16" t="s">
        <v>16</v>
      </c>
      <c r="L96" s="19">
        <f t="shared" si="3"/>
        <v>1</v>
      </c>
      <c r="M96" s="21" t="str">
        <f t="shared" si="0"/>
        <v>X</v>
      </c>
      <c r="N96" s="21" t="str">
        <f t="shared" si="1"/>
        <v>X</v>
      </c>
      <c r="O96" s="34" t="str">
        <f t="shared" si="2"/>
        <v>X</v>
      </c>
    </row>
    <row r="97" spans="1:15" ht="14.25" customHeight="1" x14ac:dyDescent="0.55000000000000004">
      <c r="A97" s="16" t="s">
        <v>210</v>
      </c>
      <c r="B97" s="17">
        <v>93</v>
      </c>
      <c r="C97" s="17" t="s">
        <v>20</v>
      </c>
      <c r="D97" s="17" t="s">
        <v>79</v>
      </c>
      <c r="E97" s="17">
        <v>30</v>
      </c>
      <c r="F97" s="18" t="s">
        <v>29</v>
      </c>
      <c r="G97" s="19"/>
      <c r="H97" s="20" t="s">
        <v>62</v>
      </c>
      <c r="I97" s="20" t="s">
        <v>77</v>
      </c>
      <c r="J97" s="19" t="s">
        <v>173</v>
      </c>
      <c r="K97" s="16" t="s">
        <v>17</v>
      </c>
      <c r="L97" s="19">
        <f t="shared" si="3"/>
        <v>2</v>
      </c>
      <c r="M97" s="21" t="str">
        <f t="shared" si="0"/>
        <v/>
      </c>
      <c r="N97" s="21" t="str">
        <f t="shared" si="1"/>
        <v>X</v>
      </c>
      <c r="O97" s="34" t="str">
        <f t="shared" si="2"/>
        <v>X</v>
      </c>
    </row>
    <row r="98" spans="1:15" ht="14.25" customHeight="1" x14ac:dyDescent="0.55000000000000004">
      <c r="A98" s="16" t="s">
        <v>211</v>
      </c>
      <c r="B98" s="17">
        <v>94</v>
      </c>
      <c r="C98" s="17" t="s">
        <v>20</v>
      </c>
      <c r="D98" s="17" t="s">
        <v>20</v>
      </c>
      <c r="E98" s="17">
        <v>25</v>
      </c>
      <c r="F98" s="18" t="s">
        <v>29</v>
      </c>
      <c r="G98" s="19"/>
      <c r="H98" s="20" t="s">
        <v>62</v>
      </c>
      <c r="I98" s="20"/>
      <c r="J98" s="19" t="s">
        <v>175</v>
      </c>
      <c r="K98" s="16" t="s">
        <v>17</v>
      </c>
      <c r="L98" s="19">
        <f t="shared" si="3"/>
        <v>2</v>
      </c>
      <c r="M98" s="21" t="str">
        <f t="shared" si="0"/>
        <v/>
      </c>
      <c r="N98" s="21" t="str">
        <f t="shared" si="1"/>
        <v>X</v>
      </c>
      <c r="O98" s="34" t="str">
        <f t="shared" si="2"/>
        <v>X</v>
      </c>
    </row>
    <row r="99" spans="1:15" ht="14.25" customHeight="1" x14ac:dyDescent="0.55000000000000004">
      <c r="A99" s="16" t="s">
        <v>212</v>
      </c>
      <c r="B99" s="17">
        <v>95</v>
      </c>
      <c r="C99" s="17" t="s">
        <v>20</v>
      </c>
      <c r="D99" s="17" t="s">
        <v>20</v>
      </c>
      <c r="E99" s="17">
        <v>30</v>
      </c>
      <c r="F99" s="18" t="s">
        <v>29</v>
      </c>
      <c r="G99" s="19"/>
      <c r="H99" s="20" t="s">
        <v>62</v>
      </c>
      <c r="I99" s="20" t="s">
        <v>177</v>
      </c>
      <c r="J99" s="19" t="s">
        <v>178</v>
      </c>
      <c r="K99" s="16" t="s">
        <v>17</v>
      </c>
      <c r="L99" s="19">
        <f t="shared" si="3"/>
        <v>2</v>
      </c>
      <c r="M99" s="21" t="str">
        <f t="shared" si="0"/>
        <v/>
      </c>
      <c r="N99" s="21" t="str">
        <f t="shared" si="1"/>
        <v>X</v>
      </c>
      <c r="O99" s="34" t="str">
        <f t="shared" si="2"/>
        <v>X</v>
      </c>
    </row>
    <row r="100" spans="1:15" ht="14.25" customHeight="1" x14ac:dyDescent="0.55000000000000004">
      <c r="A100" s="16" t="s">
        <v>213</v>
      </c>
      <c r="B100" s="17">
        <v>96</v>
      </c>
      <c r="C100" s="17" t="s">
        <v>20</v>
      </c>
      <c r="D100" s="17" t="s">
        <v>20</v>
      </c>
      <c r="E100" s="17">
        <v>30</v>
      </c>
      <c r="F100" s="18" t="s">
        <v>29</v>
      </c>
      <c r="G100" s="19"/>
      <c r="H100" s="20" t="s">
        <v>62</v>
      </c>
      <c r="I100" s="20"/>
      <c r="J100" s="19" t="s">
        <v>180</v>
      </c>
      <c r="K100" s="16" t="s">
        <v>17</v>
      </c>
      <c r="L100" s="19">
        <f t="shared" si="3"/>
        <v>2</v>
      </c>
      <c r="M100" s="21" t="str">
        <f t="shared" si="0"/>
        <v/>
      </c>
      <c r="N100" s="21" t="str">
        <f t="shared" si="1"/>
        <v>X</v>
      </c>
      <c r="O100" s="34" t="str">
        <f t="shared" si="2"/>
        <v>X</v>
      </c>
    </row>
    <row r="101" spans="1:15" ht="14.25" customHeight="1" x14ac:dyDescent="0.55000000000000004">
      <c r="A101" s="16" t="s">
        <v>214</v>
      </c>
      <c r="B101" s="17">
        <v>97</v>
      </c>
      <c r="C101" s="17" t="s">
        <v>20</v>
      </c>
      <c r="D101" s="17" t="s">
        <v>20</v>
      </c>
      <c r="E101" s="17">
        <v>80</v>
      </c>
      <c r="F101" s="18" t="s">
        <v>29</v>
      </c>
      <c r="G101" s="19"/>
      <c r="H101" s="20" t="s">
        <v>62</v>
      </c>
      <c r="I101" s="20"/>
      <c r="J101" s="19" t="s">
        <v>182</v>
      </c>
      <c r="K101" s="16" t="s">
        <v>17</v>
      </c>
      <c r="L101" s="19">
        <f t="shared" si="3"/>
        <v>2</v>
      </c>
      <c r="M101" s="21" t="str">
        <f t="shared" si="0"/>
        <v/>
      </c>
      <c r="N101" s="21" t="str">
        <f t="shared" si="1"/>
        <v>X</v>
      </c>
      <c r="O101" s="34" t="str">
        <f t="shared" si="2"/>
        <v>X</v>
      </c>
    </row>
    <row r="102" spans="1:15" ht="14.25" customHeight="1" x14ac:dyDescent="0.55000000000000004">
      <c r="A102" s="16" t="s">
        <v>215</v>
      </c>
      <c r="B102" s="17">
        <v>98</v>
      </c>
      <c r="C102" s="17" t="s">
        <v>20</v>
      </c>
      <c r="D102" s="17" t="s">
        <v>20</v>
      </c>
      <c r="E102" s="17">
        <v>65</v>
      </c>
      <c r="F102" s="18" t="s">
        <v>29</v>
      </c>
      <c r="G102" s="19"/>
      <c r="H102" s="20" t="s">
        <v>62</v>
      </c>
      <c r="I102" s="20"/>
      <c r="J102" s="19" t="s">
        <v>153</v>
      </c>
      <c r="K102" s="16" t="s">
        <v>16</v>
      </c>
      <c r="L102" s="19">
        <f t="shared" si="3"/>
        <v>1</v>
      </c>
      <c r="M102" s="21" t="str">
        <f t="shared" si="0"/>
        <v>X</v>
      </c>
      <c r="N102" s="21" t="str">
        <f t="shared" si="1"/>
        <v>X</v>
      </c>
      <c r="O102" s="34" t="str">
        <f t="shared" si="2"/>
        <v>X</v>
      </c>
    </row>
    <row r="103" spans="1:15" ht="14.25" customHeight="1" x14ac:dyDescent="0.55000000000000004">
      <c r="A103" s="16" t="s">
        <v>216</v>
      </c>
      <c r="B103" s="17">
        <v>99</v>
      </c>
      <c r="C103" s="17" t="s">
        <v>20</v>
      </c>
      <c r="D103" s="17" t="s">
        <v>20</v>
      </c>
      <c r="E103" s="17">
        <v>3</v>
      </c>
      <c r="F103" s="18" t="s">
        <v>29</v>
      </c>
      <c r="G103" s="19"/>
      <c r="H103" s="20" t="s">
        <v>62</v>
      </c>
      <c r="I103" s="20"/>
      <c r="J103" s="19" t="s">
        <v>42</v>
      </c>
      <c r="K103" s="16" t="s">
        <v>16</v>
      </c>
      <c r="L103" s="19">
        <f t="shared" si="3"/>
        <v>1</v>
      </c>
      <c r="M103" s="21" t="str">
        <f t="shared" si="0"/>
        <v>X</v>
      </c>
      <c r="N103" s="21" t="str">
        <f t="shared" si="1"/>
        <v>X</v>
      </c>
      <c r="O103" s="34" t="str">
        <f t="shared" si="2"/>
        <v>X</v>
      </c>
    </row>
    <row r="104" spans="1:15" ht="14.25" customHeight="1" x14ac:dyDescent="0.55000000000000004">
      <c r="A104" s="16" t="s">
        <v>217</v>
      </c>
      <c r="B104" s="17">
        <v>100</v>
      </c>
      <c r="C104" s="17" t="s">
        <v>20</v>
      </c>
      <c r="D104" s="17" t="s">
        <v>20</v>
      </c>
      <c r="E104" s="17">
        <v>65</v>
      </c>
      <c r="F104" s="18" t="s">
        <v>29</v>
      </c>
      <c r="G104" s="19"/>
      <c r="H104" s="20" t="s">
        <v>62</v>
      </c>
      <c r="I104" s="20"/>
      <c r="J104" s="19" t="s">
        <v>156</v>
      </c>
      <c r="K104" s="16" t="s">
        <v>16</v>
      </c>
      <c r="L104" s="19">
        <f t="shared" si="3"/>
        <v>1</v>
      </c>
      <c r="M104" s="21" t="str">
        <f t="shared" si="0"/>
        <v>X</v>
      </c>
      <c r="N104" s="21" t="str">
        <f t="shared" si="1"/>
        <v>X</v>
      </c>
      <c r="O104" s="34" t="str">
        <f t="shared" si="2"/>
        <v>X</v>
      </c>
    </row>
    <row r="105" spans="1:15" ht="14.25" customHeight="1" x14ac:dyDescent="0.55000000000000004">
      <c r="A105" s="16" t="s">
        <v>218</v>
      </c>
      <c r="B105" s="17">
        <v>101</v>
      </c>
      <c r="C105" s="17" t="s">
        <v>20</v>
      </c>
      <c r="D105" s="17" t="s">
        <v>20</v>
      </c>
      <c r="E105" s="17">
        <v>50</v>
      </c>
      <c r="F105" s="18" t="s">
        <v>29</v>
      </c>
      <c r="G105" s="19"/>
      <c r="H105" s="20" t="s">
        <v>62</v>
      </c>
      <c r="I105" s="20"/>
      <c r="J105" s="19" t="s">
        <v>158</v>
      </c>
      <c r="K105" s="16" t="s">
        <v>16</v>
      </c>
      <c r="L105" s="19">
        <f t="shared" si="3"/>
        <v>1</v>
      </c>
      <c r="M105" s="21" t="str">
        <f t="shared" si="0"/>
        <v>X</v>
      </c>
      <c r="N105" s="21" t="str">
        <f t="shared" si="1"/>
        <v>X</v>
      </c>
      <c r="O105" s="34" t="str">
        <f t="shared" si="2"/>
        <v>X</v>
      </c>
    </row>
    <row r="106" spans="1:15" ht="14.25" customHeight="1" x14ac:dyDescent="0.55000000000000004">
      <c r="A106" s="16" t="s">
        <v>219</v>
      </c>
      <c r="B106" s="17">
        <v>102</v>
      </c>
      <c r="C106" s="17" t="s">
        <v>20</v>
      </c>
      <c r="D106" s="17" t="s">
        <v>20</v>
      </c>
      <c r="E106" s="17">
        <v>150</v>
      </c>
      <c r="F106" s="18" t="s">
        <v>29</v>
      </c>
      <c r="G106" s="19"/>
      <c r="H106" s="20" t="s">
        <v>62</v>
      </c>
      <c r="I106" s="20"/>
      <c r="J106" s="19" t="s">
        <v>160</v>
      </c>
      <c r="K106" s="16" t="s">
        <v>16</v>
      </c>
      <c r="L106" s="19">
        <f t="shared" si="3"/>
        <v>1</v>
      </c>
      <c r="M106" s="21" t="str">
        <f t="shared" si="0"/>
        <v>X</v>
      </c>
      <c r="N106" s="21" t="str">
        <f t="shared" si="1"/>
        <v>X</v>
      </c>
      <c r="O106" s="34" t="str">
        <f t="shared" si="2"/>
        <v>X</v>
      </c>
    </row>
    <row r="107" spans="1:15" ht="14.25" customHeight="1" x14ac:dyDescent="0.55000000000000004">
      <c r="A107" s="16" t="s">
        <v>220</v>
      </c>
      <c r="B107" s="17">
        <v>103</v>
      </c>
      <c r="C107" s="17" t="s">
        <v>20</v>
      </c>
      <c r="D107" s="17" t="s">
        <v>20</v>
      </c>
      <c r="E107" s="17">
        <v>150</v>
      </c>
      <c r="F107" s="18" t="s">
        <v>29</v>
      </c>
      <c r="G107" s="19"/>
      <c r="H107" s="20" t="s">
        <v>62</v>
      </c>
      <c r="I107" s="20"/>
      <c r="J107" s="19" t="s">
        <v>162</v>
      </c>
      <c r="K107" s="16" t="s">
        <v>16</v>
      </c>
      <c r="L107" s="19">
        <f t="shared" si="3"/>
        <v>1</v>
      </c>
      <c r="M107" s="21" t="str">
        <f t="shared" si="0"/>
        <v>X</v>
      </c>
      <c r="N107" s="21" t="str">
        <f t="shared" si="1"/>
        <v>X</v>
      </c>
      <c r="O107" s="34" t="str">
        <f t="shared" si="2"/>
        <v>X</v>
      </c>
    </row>
    <row r="108" spans="1:15" ht="14.25" customHeight="1" x14ac:dyDescent="0.55000000000000004">
      <c r="A108" s="16" t="s">
        <v>221</v>
      </c>
      <c r="B108" s="17">
        <v>104</v>
      </c>
      <c r="C108" s="17" t="s">
        <v>20</v>
      </c>
      <c r="D108" s="17" t="s">
        <v>20</v>
      </c>
      <c r="E108" s="17">
        <v>40</v>
      </c>
      <c r="F108" s="18" t="s">
        <v>29</v>
      </c>
      <c r="G108" s="19"/>
      <c r="H108" s="20" t="s">
        <v>62</v>
      </c>
      <c r="I108" s="20"/>
      <c r="J108" s="19" t="s">
        <v>164</v>
      </c>
      <c r="K108" s="16" t="s">
        <v>16</v>
      </c>
      <c r="L108" s="19">
        <f t="shared" si="3"/>
        <v>1</v>
      </c>
      <c r="M108" s="21" t="str">
        <f t="shared" si="0"/>
        <v>X</v>
      </c>
      <c r="N108" s="21" t="str">
        <f t="shared" si="1"/>
        <v>X</v>
      </c>
      <c r="O108" s="34" t="str">
        <f t="shared" si="2"/>
        <v>X</v>
      </c>
    </row>
    <row r="109" spans="1:15" ht="14.25" customHeight="1" x14ac:dyDescent="0.55000000000000004">
      <c r="A109" s="16" t="s">
        <v>222</v>
      </c>
      <c r="B109" s="17">
        <v>105</v>
      </c>
      <c r="C109" s="17" t="s">
        <v>20</v>
      </c>
      <c r="D109" s="17" t="s">
        <v>20</v>
      </c>
      <c r="E109" s="17">
        <v>50</v>
      </c>
      <c r="F109" s="18" t="s">
        <v>29</v>
      </c>
      <c r="G109" s="19"/>
      <c r="H109" s="20" t="s">
        <v>62</v>
      </c>
      <c r="I109" s="20" t="s">
        <v>77</v>
      </c>
      <c r="J109" s="19" t="s">
        <v>166</v>
      </c>
      <c r="K109" s="16" t="s">
        <v>16</v>
      </c>
      <c r="L109" s="19">
        <f t="shared" si="3"/>
        <v>1</v>
      </c>
      <c r="M109" s="21" t="str">
        <f t="shared" si="0"/>
        <v>X</v>
      </c>
      <c r="N109" s="21" t="str">
        <f t="shared" si="1"/>
        <v>X</v>
      </c>
      <c r="O109" s="34" t="str">
        <f t="shared" si="2"/>
        <v>X</v>
      </c>
    </row>
    <row r="110" spans="1:15" ht="14.25" customHeight="1" x14ac:dyDescent="0.55000000000000004">
      <c r="A110" s="16" t="s">
        <v>223</v>
      </c>
      <c r="B110" s="17">
        <v>106</v>
      </c>
      <c r="C110" s="17" t="s">
        <v>20</v>
      </c>
      <c r="D110" s="17" t="s">
        <v>79</v>
      </c>
      <c r="E110" s="17">
        <v>4</v>
      </c>
      <c r="F110" s="18" t="s">
        <v>29</v>
      </c>
      <c r="G110" s="19"/>
      <c r="H110" s="20" t="s">
        <v>62</v>
      </c>
      <c r="I110" s="20"/>
      <c r="J110" s="19" t="s">
        <v>168</v>
      </c>
      <c r="K110" s="16" t="s">
        <v>16</v>
      </c>
      <c r="L110" s="19">
        <f t="shared" si="3"/>
        <v>1</v>
      </c>
      <c r="M110" s="21" t="str">
        <f t="shared" si="0"/>
        <v>X</v>
      </c>
      <c r="N110" s="21" t="str">
        <f t="shared" si="1"/>
        <v>X</v>
      </c>
      <c r="O110" s="34" t="str">
        <f t="shared" si="2"/>
        <v>X</v>
      </c>
    </row>
    <row r="111" spans="1:15" ht="14.25" customHeight="1" x14ac:dyDescent="0.55000000000000004">
      <c r="A111" s="16" t="s">
        <v>224</v>
      </c>
      <c r="B111" s="17">
        <v>107</v>
      </c>
      <c r="C111" s="17" t="s">
        <v>20</v>
      </c>
      <c r="D111" s="17" t="s">
        <v>20</v>
      </c>
      <c r="E111" s="17">
        <v>3</v>
      </c>
      <c r="F111" s="18" t="s">
        <v>29</v>
      </c>
      <c r="G111" s="19"/>
      <c r="H111" s="20" t="s">
        <v>62</v>
      </c>
      <c r="I111" s="20"/>
      <c r="J111" s="19" t="s">
        <v>83</v>
      </c>
      <c r="K111" s="16" t="s">
        <v>16</v>
      </c>
      <c r="L111" s="19">
        <f t="shared" si="3"/>
        <v>1</v>
      </c>
      <c r="M111" s="21" t="str">
        <f t="shared" si="0"/>
        <v>X</v>
      </c>
      <c r="N111" s="21" t="str">
        <f t="shared" si="1"/>
        <v>X</v>
      </c>
      <c r="O111" s="34" t="str">
        <f t="shared" si="2"/>
        <v>X</v>
      </c>
    </row>
    <row r="112" spans="1:15" ht="14.25" customHeight="1" x14ac:dyDescent="0.55000000000000004">
      <c r="A112" s="16" t="s">
        <v>225</v>
      </c>
      <c r="B112" s="17">
        <v>108</v>
      </c>
      <c r="C112" s="17" t="s">
        <v>20</v>
      </c>
      <c r="D112" s="17" t="s">
        <v>20</v>
      </c>
      <c r="E112" s="17">
        <v>55</v>
      </c>
      <c r="F112" s="18" t="s">
        <v>29</v>
      </c>
      <c r="G112" s="19"/>
      <c r="H112" s="20" t="s">
        <v>62</v>
      </c>
      <c r="I112" s="20" t="s">
        <v>74</v>
      </c>
      <c r="J112" s="19" t="s">
        <v>171</v>
      </c>
      <c r="K112" s="16" t="s">
        <v>16</v>
      </c>
      <c r="L112" s="19">
        <f t="shared" si="3"/>
        <v>1</v>
      </c>
      <c r="M112" s="21" t="str">
        <f t="shared" si="0"/>
        <v>X</v>
      </c>
      <c r="N112" s="21" t="str">
        <f t="shared" si="1"/>
        <v>X</v>
      </c>
      <c r="O112" s="34" t="str">
        <f t="shared" si="2"/>
        <v>X</v>
      </c>
    </row>
    <row r="113" spans="1:15" ht="14.25" customHeight="1" x14ac:dyDescent="0.55000000000000004">
      <c r="A113" s="16" t="s">
        <v>226</v>
      </c>
      <c r="B113" s="17">
        <v>109</v>
      </c>
      <c r="C113" s="17" t="s">
        <v>20</v>
      </c>
      <c r="D113" s="17" t="s">
        <v>79</v>
      </c>
      <c r="E113" s="17">
        <v>30</v>
      </c>
      <c r="F113" s="18" t="s">
        <v>29</v>
      </c>
      <c r="G113" s="19"/>
      <c r="H113" s="20" t="s">
        <v>62</v>
      </c>
      <c r="I113" s="20" t="s">
        <v>77</v>
      </c>
      <c r="J113" s="19" t="s">
        <v>173</v>
      </c>
      <c r="K113" s="16" t="s">
        <v>17</v>
      </c>
      <c r="L113" s="19">
        <f t="shared" si="3"/>
        <v>2</v>
      </c>
      <c r="M113" s="21" t="str">
        <f t="shared" si="0"/>
        <v/>
      </c>
      <c r="N113" s="21" t="str">
        <f t="shared" si="1"/>
        <v>X</v>
      </c>
      <c r="O113" s="34" t="str">
        <f t="shared" si="2"/>
        <v>X</v>
      </c>
    </row>
    <row r="114" spans="1:15" ht="14.25" customHeight="1" x14ac:dyDescent="0.55000000000000004">
      <c r="A114" s="16" t="s">
        <v>227</v>
      </c>
      <c r="B114" s="17">
        <v>110</v>
      </c>
      <c r="C114" s="17" t="s">
        <v>20</v>
      </c>
      <c r="D114" s="17" t="s">
        <v>20</v>
      </c>
      <c r="E114" s="17">
        <v>25</v>
      </c>
      <c r="F114" s="18" t="s">
        <v>29</v>
      </c>
      <c r="G114" s="19"/>
      <c r="H114" s="20" t="s">
        <v>62</v>
      </c>
      <c r="I114" s="20"/>
      <c r="J114" s="19" t="s">
        <v>175</v>
      </c>
      <c r="K114" s="16" t="s">
        <v>17</v>
      </c>
      <c r="L114" s="19">
        <f t="shared" si="3"/>
        <v>2</v>
      </c>
      <c r="M114" s="21" t="str">
        <f t="shared" si="0"/>
        <v/>
      </c>
      <c r="N114" s="21" t="str">
        <f t="shared" si="1"/>
        <v>X</v>
      </c>
      <c r="O114" s="34" t="str">
        <f t="shared" si="2"/>
        <v>X</v>
      </c>
    </row>
    <row r="115" spans="1:15" ht="14.25" customHeight="1" x14ac:dyDescent="0.55000000000000004">
      <c r="A115" s="16" t="s">
        <v>228</v>
      </c>
      <c r="B115" s="17">
        <v>111</v>
      </c>
      <c r="C115" s="17" t="s">
        <v>20</v>
      </c>
      <c r="D115" s="17" t="s">
        <v>20</v>
      </c>
      <c r="E115" s="17">
        <v>30</v>
      </c>
      <c r="F115" s="18" t="s">
        <v>29</v>
      </c>
      <c r="G115" s="19"/>
      <c r="H115" s="20" t="s">
        <v>62</v>
      </c>
      <c r="I115" s="20" t="s">
        <v>177</v>
      </c>
      <c r="J115" s="19" t="s">
        <v>178</v>
      </c>
      <c r="K115" s="16" t="s">
        <v>17</v>
      </c>
      <c r="L115" s="19">
        <f t="shared" si="3"/>
        <v>2</v>
      </c>
      <c r="M115" s="21" t="str">
        <f t="shared" si="0"/>
        <v/>
      </c>
      <c r="N115" s="21" t="str">
        <f t="shared" si="1"/>
        <v>X</v>
      </c>
      <c r="O115" s="34" t="str">
        <f t="shared" si="2"/>
        <v>X</v>
      </c>
    </row>
    <row r="116" spans="1:15" ht="14.25" customHeight="1" x14ac:dyDescent="0.55000000000000004">
      <c r="A116" s="16" t="s">
        <v>229</v>
      </c>
      <c r="B116" s="17">
        <v>112</v>
      </c>
      <c r="C116" s="17" t="s">
        <v>20</v>
      </c>
      <c r="D116" s="17" t="s">
        <v>20</v>
      </c>
      <c r="E116" s="17">
        <v>30</v>
      </c>
      <c r="F116" s="18" t="s">
        <v>29</v>
      </c>
      <c r="G116" s="19"/>
      <c r="H116" s="20" t="s">
        <v>62</v>
      </c>
      <c r="I116" s="20"/>
      <c r="J116" s="19" t="s">
        <v>180</v>
      </c>
      <c r="K116" s="16" t="s">
        <v>17</v>
      </c>
      <c r="L116" s="19">
        <f t="shared" si="3"/>
        <v>2</v>
      </c>
      <c r="M116" s="21" t="str">
        <f t="shared" si="0"/>
        <v/>
      </c>
      <c r="N116" s="21" t="str">
        <f t="shared" si="1"/>
        <v>X</v>
      </c>
      <c r="O116" s="34" t="str">
        <f t="shared" si="2"/>
        <v>X</v>
      </c>
    </row>
    <row r="117" spans="1:15" ht="14.25" customHeight="1" x14ac:dyDescent="0.55000000000000004">
      <c r="A117" s="16" t="s">
        <v>230</v>
      </c>
      <c r="B117" s="17">
        <v>113</v>
      </c>
      <c r="C117" s="17" t="s">
        <v>20</v>
      </c>
      <c r="D117" s="17" t="s">
        <v>20</v>
      </c>
      <c r="E117" s="17">
        <v>80</v>
      </c>
      <c r="F117" s="18" t="s">
        <v>29</v>
      </c>
      <c r="G117" s="19"/>
      <c r="H117" s="20" t="s">
        <v>62</v>
      </c>
      <c r="I117" s="20"/>
      <c r="J117" s="19" t="s">
        <v>182</v>
      </c>
      <c r="K117" s="16" t="s">
        <v>17</v>
      </c>
      <c r="L117" s="19">
        <f t="shared" si="3"/>
        <v>2</v>
      </c>
      <c r="M117" s="21" t="str">
        <f t="shared" si="0"/>
        <v/>
      </c>
      <c r="N117" s="21" t="str">
        <f t="shared" si="1"/>
        <v>X</v>
      </c>
      <c r="O117" s="34" t="str">
        <f t="shared" si="2"/>
        <v>X</v>
      </c>
    </row>
    <row r="118" spans="1:15" ht="14.25" customHeight="1" x14ac:dyDescent="0.55000000000000004">
      <c r="A118" s="16" t="s">
        <v>231</v>
      </c>
      <c r="B118" s="17">
        <v>114</v>
      </c>
      <c r="C118" s="17" t="s">
        <v>20</v>
      </c>
      <c r="D118" s="17" t="s">
        <v>20</v>
      </c>
      <c r="E118" s="17">
        <v>65</v>
      </c>
      <c r="F118" s="18" t="s">
        <v>29</v>
      </c>
      <c r="G118" s="19"/>
      <c r="H118" s="20" t="s">
        <v>33</v>
      </c>
      <c r="I118" s="20"/>
      <c r="J118" s="19" t="s">
        <v>153</v>
      </c>
      <c r="K118" s="16" t="s">
        <v>16</v>
      </c>
      <c r="L118" s="19">
        <f t="shared" si="3"/>
        <v>1</v>
      </c>
      <c r="M118" s="21" t="str">
        <f t="shared" si="0"/>
        <v>X</v>
      </c>
      <c r="N118" s="21" t="str">
        <f t="shared" si="1"/>
        <v>X</v>
      </c>
      <c r="O118" s="34" t="str">
        <f t="shared" si="2"/>
        <v>X</v>
      </c>
    </row>
    <row r="119" spans="1:15" ht="14.25" customHeight="1" x14ac:dyDescent="0.55000000000000004">
      <c r="A119" s="16" t="s">
        <v>232</v>
      </c>
      <c r="B119" s="17">
        <v>115</v>
      </c>
      <c r="C119" s="17" t="s">
        <v>20</v>
      </c>
      <c r="D119" s="17" t="s">
        <v>20</v>
      </c>
      <c r="E119" s="17">
        <v>3</v>
      </c>
      <c r="F119" s="18" t="s">
        <v>29</v>
      </c>
      <c r="G119" s="19"/>
      <c r="H119" s="20" t="s">
        <v>62</v>
      </c>
      <c r="I119" s="20"/>
      <c r="J119" s="19" t="s">
        <v>42</v>
      </c>
      <c r="K119" s="16" t="s">
        <v>16</v>
      </c>
      <c r="L119" s="19">
        <f t="shared" si="3"/>
        <v>1</v>
      </c>
      <c r="M119" s="21" t="str">
        <f t="shared" si="0"/>
        <v>X</v>
      </c>
      <c r="N119" s="21" t="str">
        <f t="shared" si="1"/>
        <v>X</v>
      </c>
      <c r="O119" s="34" t="str">
        <f t="shared" si="2"/>
        <v>X</v>
      </c>
    </row>
    <row r="120" spans="1:15" ht="14.25" customHeight="1" x14ac:dyDescent="0.55000000000000004">
      <c r="A120" s="16" t="s">
        <v>233</v>
      </c>
      <c r="B120" s="17">
        <v>116</v>
      </c>
      <c r="C120" s="17" t="s">
        <v>20</v>
      </c>
      <c r="D120" s="17" t="s">
        <v>20</v>
      </c>
      <c r="E120" s="17">
        <v>65</v>
      </c>
      <c r="F120" s="18" t="s">
        <v>29</v>
      </c>
      <c r="G120" s="19"/>
      <c r="H120" s="20" t="s">
        <v>33</v>
      </c>
      <c r="I120" s="20"/>
      <c r="J120" s="19" t="s">
        <v>156</v>
      </c>
      <c r="K120" s="16" t="s">
        <v>16</v>
      </c>
      <c r="L120" s="19">
        <f t="shared" si="3"/>
        <v>1</v>
      </c>
      <c r="M120" s="21" t="str">
        <f t="shared" si="0"/>
        <v>X</v>
      </c>
      <c r="N120" s="21" t="str">
        <f t="shared" si="1"/>
        <v>X</v>
      </c>
      <c r="O120" s="34" t="str">
        <f t="shared" si="2"/>
        <v>X</v>
      </c>
    </row>
    <row r="121" spans="1:15" ht="14.25" customHeight="1" x14ac:dyDescent="0.55000000000000004">
      <c r="A121" s="16" t="s">
        <v>234</v>
      </c>
      <c r="B121" s="17">
        <v>117</v>
      </c>
      <c r="C121" s="17" t="s">
        <v>20</v>
      </c>
      <c r="D121" s="17" t="s">
        <v>20</v>
      </c>
      <c r="E121" s="17">
        <v>50</v>
      </c>
      <c r="F121" s="18" t="s">
        <v>29</v>
      </c>
      <c r="G121" s="19"/>
      <c r="H121" s="20" t="s">
        <v>62</v>
      </c>
      <c r="I121" s="20"/>
      <c r="J121" s="19" t="s">
        <v>158</v>
      </c>
      <c r="K121" s="16" t="s">
        <v>16</v>
      </c>
      <c r="L121" s="19">
        <f t="shared" si="3"/>
        <v>1</v>
      </c>
      <c r="M121" s="21" t="str">
        <f t="shared" si="0"/>
        <v>X</v>
      </c>
      <c r="N121" s="21" t="str">
        <f t="shared" si="1"/>
        <v>X</v>
      </c>
      <c r="O121" s="34" t="str">
        <f t="shared" si="2"/>
        <v>X</v>
      </c>
    </row>
    <row r="122" spans="1:15" ht="14.25" customHeight="1" x14ac:dyDescent="0.55000000000000004">
      <c r="A122" s="16" t="s">
        <v>235</v>
      </c>
      <c r="B122" s="17">
        <v>118</v>
      </c>
      <c r="C122" s="17" t="s">
        <v>20</v>
      </c>
      <c r="D122" s="17" t="s">
        <v>20</v>
      </c>
      <c r="E122" s="17">
        <v>150</v>
      </c>
      <c r="F122" s="18" t="s">
        <v>29</v>
      </c>
      <c r="G122" s="19"/>
      <c r="H122" s="20" t="s">
        <v>33</v>
      </c>
      <c r="I122" s="20"/>
      <c r="J122" s="19" t="s">
        <v>160</v>
      </c>
      <c r="K122" s="16" t="s">
        <v>16</v>
      </c>
      <c r="L122" s="19">
        <f t="shared" si="3"/>
        <v>1</v>
      </c>
      <c r="M122" s="21" t="str">
        <f t="shared" si="0"/>
        <v>X</v>
      </c>
      <c r="N122" s="21" t="str">
        <f t="shared" si="1"/>
        <v>X</v>
      </c>
      <c r="O122" s="34" t="str">
        <f t="shared" si="2"/>
        <v>X</v>
      </c>
    </row>
    <row r="123" spans="1:15" ht="14.25" customHeight="1" x14ac:dyDescent="0.55000000000000004">
      <c r="A123" s="16" t="s">
        <v>236</v>
      </c>
      <c r="B123" s="17">
        <v>119</v>
      </c>
      <c r="C123" s="17" t="s">
        <v>20</v>
      </c>
      <c r="D123" s="17" t="s">
        <v>20</v>
      </c>
      <c r="E123" s="17">
        <v>150</v>
      </c>
      <c r="F123" s="18" t="s">
        <v>29</v>
      </c>
      <c r="G123" s="19"/>
      <c r="H123" s="20" t="s">
        <v>62</v>
      </c>
      <c r="I123" s="20"/>
      <c r="J123" s="19" t="s">
        <v>162</v>
      </c>
      <c r="K123" s="16" t="s">
        <v>16</v>
      </c>
      <c r="L123" s="19">
        <f t="shared" si="3"/>
        <v>1</v>
      </c>
      <c r="M123" s="21" t="str">
        <f t="shared" si="0"/>
        <v>X</v>
      </c>
      <c r="N123" s="21" t="str">
        <f t="shared" si="1"/>
        <v>X</v>
      </c>
      <c r="O123" s="34" t="str">
        <f t="shared" si="2"/>
        <v>X</v>
      </c>
    </row>
    <row r="124" spans="1:15" ht="14.25" customHeight="1" x14ac:dyDescent="0.55000000000000004">
      <c r="A124" s="16" t="s">
        <v>237</v>
      </c>
      <c r="B124" s="17">
        <v>120</v>
      </c>
      <c r="C124" s="17" t="s">
        <v>20</v>
      </c>
      <c r="D124" s="17" t="s">
        <v>20</v>
      </c>
      <c r="E124" s="17">
        <v>40</v>
      </c>
      <c r="F124" s="18" t="s">
        <v>29</v>
      </c>
      <c r="G124" s="19"/>
      <c r="H124" s="20" t="s">
        <v>33</v>
      </c>
      <c r="I124" s="20"/>
      <c r="J124" s="19" t="s">
        <v>164</v>
      </c>
      <c r="K124" s="16" t="s">
        <v>16</v>
      </c>
      <c r="L124" s="19">
        <f t="shared" si="3"/>
        <v>1</v>
      </c>
      <c r="M124" s="21" t="str">
        <f t="shared" si="0"/>
        <v>X</v>
      </c>
      <c r="N124" s="21" t="str">
        <f t="shared" si="1"/>
        <v>X</v>
      </c>
      <c r="O124" s="34" t="str">
        <f t="shared" si="2"/>
        <v>X</v>
      </c>
    </row>
    <row r="125" spans="1:15" ht="14.25" customHeight="1" x14ac:dyDescent="0.55000000000000004">
      <c r="A125" s="16" t="s">
        <v>238</v>
      </c>
      <c r="B125" s="17">
        <v>121</v>
      </c>
      <c r="C125" s="17" t="s">
        <v>20</v>
      </c>
      <c r="D125" s="17" t="s">
        <v>20</v>
      </c>
      <c r="E125" s="17">
        <v>50</v>
      </c>
      <c r="F125" s="18" t="s">
        <v>29</v>
      </c>
      <c r="G125" s="19"/>
      <c r="H125" s="20" t="s">
        <v>62</v>
      </c>
      <c r="I125" s="20" t="s">
        <v>77</v>
      </c>
      <c r="J125" s="19" t="s">
        <v>166</v>
      </c>
      <c r="K125" s="16" t="s">
        <v>16</v>
      </c>
      <c r="L125" s="19">
        <f t="shared" si="3"/>
        <v>1</v>
      </c>
      <c r="M125" s="21" t="str">
        <f t="shared" si="0"/>
        <v>X</v>
      </c>
      <c r="N125" s="21" t="str">
        <f t="shared" si="1"/>
        <v>X</v>
      </c>
      <c r="O125" s="34" t="str">
        <f t="shared" si="2"/>
        <v>X</v>
      </c>
    </row>
    <row r="126" spans="1:15" ht="14.25" customHeight="1" x14ac:dyDescent="0.55000000000000004">
      <c r="A126" s="16" t="s">
        <v>239</v>
      </c>
      <c r="B126" s="17">
        <v>122</v>
      </c>
      <c r="C126" s="17" t="s">
        <v>20</v>
      </c>
      <c r="D126" s="17" t="s">
        <v>79</v>
      </c>
      <c r="E126" s="17">
        <v>4</v>
      </c>
      <c r="F126" s="18" t="s">
        <v>29</v>
      </c>
      <c r="G126" s="19"/>
      <c r="H126" s="20" t="s">
        <v>62</v>
      </c>
      <c r="I126" s="20"/>
      <c r="J126" s="19" t="s">
        <v>168</v>
      </c>
      <c r="K126" s="16" t="s">
        <v>16</v>
      </c>
      <c r="L126" s="19">
        <f t="shared" si="3"/>
        <v>1</v>
      </c>
      <c r="M126" s="21" t="str">
        <f t="shared" si="0"/>
        <v>X</v>
      </c>
      <c r="N126" s="21" t="str">
        <f t="shared" si="1"/>
        <v>X</v>
      </c>
      <c r="O126" s="34" t="str">
        <f t="shared" si="2"/>
        <v>X</v>
      </c>
    </row>
    <row r="127" spans="1:15" ht="14.25" customHeight="1" x14ac:dyDescent="0.55000000000000004">
      <c r="A127" s="16" t="s">
        <v>240</v>
      </c>
      <c r="B127" s="17">
        <v>123</v>
      </c>
      <c r="C127" s="17" t="s">
        <v>20</v>
      </c>
      <c r="D127" s="17" t="s">
        <v>20</v>
      </c>
      <c r="E127" s="17">
        <v>3</v>
      </c>
      <c r="F127" s="18" t="s">
        <v>29</v>
      </c>
      <c r="G127" s="19"/>
      <c r="H127" s="20" t="s">
        <v>33</v>
      </c>
      <c r="I127" s="20"/>
      <c r="J127" s="19" t="s">
        <v>83</v>
      </c>
      <c r="K127" s="16" t="s">
        <v>16</v>
      </c>
      <c r="L127" s="19">
        <f t="shared" si="3"/>
        <v>1</v>
      </c>
      <c r="M127" s="21" t="str">
        <f t="shared" si="0"/>
        <v>X</v>
      </c>
      <c r="N127" s="21" t="str">
        <f t="shared" si="1"/>
        <v>X</v>
      </c>
      <c r="O127" s="34" t="str">
        <f t="shared" si="2"/>
        <v>X</v>
      </c>
    </row>
    <row r="128" spans="1:15" ht="14.25" customHeight="1" x14ac:dyDescent="0.55000000000000004">
      <c r="A128" s="16" t="s">
        <v>241</v>
      </c>
      <c r="B128" s="17">
        <v>124</v>
      </c>
      <c r="C128" s="17" t="s">
        <v>20</v>
      </c>
      <c r="D128" s="17" t="s">
        <v>20</v>
      </c>
      <c r="E128" s="17">
        <v>55</v>
      </c>
      <c r="F128" s="18" t="s">
        <v>29</v>
      </c>
      <c r="G128" s="19"/>
      <c r="H128" s="20" t="s">
        <v>62</v>
      </c>
      <c r="I128" s="20" t="s">
        <v>74</v>
      </c>
      <c r="J128" s="19" t="s">
        <v>171</v>
      </c>
      <c r="K128" s="16" t="s">
        <v>16</v>
      </c>
      <c r="L128" s="19">
        <f t="shared" si="3"/>
        <v>1</v>
      </c>
      <c r="M128" s="21" t="str">
        <f t="shared" si="0"/>
        <v>X</v>
      </c>
      <c r="N128" s="21" t="str">
        <f t="shared" si="1"/>
        <v>X</v>
      </c>
      <c r="O128" s="34" t="str">
        <f t="shared" si="2"/>
        <v>X</v>
      </c>
    </row>
    <row r="129" spans="1:15" ht="14.25" customHeight="1" x14ac:dyDescent="0.55000000000000004">
      <c r="A129" s="16" t="s">
        <v>242</v>
      </c>
      <c r="B129" s="17">
        <v>125</v>
      </c>
      <c r="C129" s="17" t="s">
        <v>20</v>
      </c>
      <c r="D129" s="17" t="s">
        <v>79</v>
      </c>
      <c r="E129" s="17">
        <v>30</v>
      </c>
      <c r="F129" s="18" t="s">
        <v>29</v>
      </c>
      <c r="G129" s="19"/>
      <c r="H129" s="20" t="s">
        <v>62</v>
      </c>
      <c r="I129" s="20" t="s">
        <v>77</v>
      </c>
      <c r="J129" s="19" t="s">
        <v>173</v>
      </c>
      <c r="K129" s="16" t="s">
        <v>17</v>
      </c>
      <c r="L129" s="19">
        <f t="shared" si="3"/>
        <v>2</v>
      </c>
      <c r="M129" s="21" t="str">
        <f t="shared" si="0"/>
        <v/>
      </c>
      <c r="N129" s="21" t="str">
        <f t="shared" si="1"/>
        <v>X</v>
      </c>
      <c r="O129" s="34" t="str">
        <f t="shared" si="2"/>
        <v>X</v>
      </c>
    </row>
    <row r="130" spans="1:15" ht="14.25" customHeight="1" x14ac:dyDescent="0.55000000000000004">
      <c r="A130" s="16" t="s">
        <v>243</v>
      </c>
      <c r="B130" s="17">
        <v>126</v>
      </c>
      <c r="C130" s="17" t="s">
        <v>20</v>
      </c>
      <c r="D130" s="17" t="s">
        <v>20</v>
      </c>
      <c r="E130" s="17">
        <v>25</v>
      </c>
      <c r="F130" s="18" t="s">
        <v>29</v>
      </c>
      <c r="G130" s="19"/>
      <c r="H130" s="20" t="s">
        <v>62</v>
      </c>
      <c r="I130" s="20"/>
      <c r="J130" s="19" t="s">
        <v>175</v>
      </c>
      <c r="K130" s="16" t="s">
        <v>17</v>
      </c>
      <c r="L130" s="19">
        <f t="shared" si="3"/>
        <v>2</v>
      </c>
      <c r="M130" s="21" t="str">
        <f t="shared" si="0"/>
        <v/>
      </c>
      <c r="N130" s="21" t="str">
        <f t="shared" si="1"/>
        <v>X</v>
      </c>
      <c r="O130" s="34" t="str">
        <f t="shared" si="2"/>
        <v>X</v>
      </c>
    </row>
    <row r="131" spans="1:15" ht="14.25" customHeight="1" x14ac:dyDescent="0.55000000000000004">
      <c r="A131" s="16" t="s">
        <v>244</v>
      </c>
      <c r="B131" s="17">
        <v>127</v>
      </c>
      <c r="C131" s="17" t="s">
        <v>20</v>
      </c>
      <c r="D131" s="17" t="s">
        <v>20</v>
      </c>
      <c r="E131" s="17">
        <v>30</v>
      </c>
      <c r="F131" s="18" t="s">
        <v>29</v>
      </c>
      <c r="G131" s="19"/>
      <c r="H131" s="20" t="s">
        <v>62</v>
      </c>
      <c r="I131" s="20" t="s">
        <v>177</v>
      </c>
      <c r="J131" s="19" t="s">
        <v>178</v>
      </c>
      <c r="K131" s="16" t="s">
        <v>17</v>
      </c>
      <c r="L131" s="19">
        <f t="shared" si="3"/>
        <v>2</v>
      </c>
      <c r="M131" s="21" t="str">
        <f t="shared" si="0"/>
        <v/>
      </c>
      <c r="N131" s="21" t="str">
        <f t="shared" si="1"/>
        <v>X</v>
      </c>
      <c r="O131" s="34" t="str">
        <f t="shared" si="2"/>
        <v>X</v>
      </c>
    </row>
    <row r="132" spans="1:15" ht="14.25" customHeight="1" x14ac:dyDescent="0.55000000000000004">
      <c r="A132" s="16" t="s">
        <v>245</v>
      </c>
      <c r="B132" s="17">
        <v>128</v>
      </c>
      <c r="C132" s="17" t="s">
        <v>20</v>
      </c>
      <c r="D132" s="17" t="s">
        <v>20</v>
      </c>
      <c r="E132" s="17">
        <v>30</v>
      </c>
      <c r="F132" s="18" t="s">
        <v>29</v>
      </c>
      <c r="G132" s="19"/>
      <c r="H132" s="20" t="s">
        <v>62</v>
      </c>
      <c r="I132" s="20"/>
      <c r="J132" s="19" t="s">
        <v>180</v>
      </c>
      <c r="K132" s="16" t="s">
        <v>17</v>
      </c>
      <c r="L132" s="19">
        <f t="shared" si="3"/>
        <v>2</v>
      </c>
      <c r="M132" s="21" t="str">
        <f t="shared" si="0"/>
        <v/>
      </c>
      <c r="N132" s="21" t="str">
        <f t="shared" si="1"/>
        <v>X</v>
      </c>
      <c r="O132" s="34" t="str">
        <f t="shared" si="2"/>
        <v>X</v>
      </c>
    </row>
    <row r="133" spans="1:15" ht="14.25" customHeight="1" x14ac:dyDescent="0.55000000000000004">
      <c r="A133" s="16" t="s">
        <v>246</v>
      </c>
      <c r="B133" s="17">
        <v>129</v>
      </c>
      <c r="C133" s="17" t="s">
        <v>20</v>
      </c>
      <c r="D133" s="17" t="s">
        <v>20</v>
      </c>
      <c r="E133" s="17">
        <v>80</v>
      </c>
      <c r="F133" s="18" t="s">
        <v>29</v>
      </c>
      <c r="G133" s="19"/>
      <c r="H133" s="20" t="s">
        <v>33</v>
      </c>
      <c r="I133" s="20"/>
      <c r="J133" s="19" t="s">
        <v>182</v>
      </c>
      <c r="K133" s="16" t="s">
        <v>17</v>
      </c>
      <c r="L133" s="19">
        <f t="shared" si="3"/>
        <v>2</v>
      </c>
      <c r="M133" s="21" t="str">
        <f t="shared" si="0"/>
        <v/>
      </c>
      <c r="N133" s="21" t="str">
        <f t="shared" si="1"/>
        <v>X</v>
      </c>
      <c r="O133" s="34" t="str">
        <f t="shared" si="2"/>
        <v>X</v>
      </c>
    </row>
    <row r="134" spans="1:15" ht="14.25" customHeight="1" x14ac:dyDescent="0.55000000000000004">
      <c r="A134" s="16" t="s">
        <v>247</v>
      </c>
      <c r="B134" s="17">
        <v>130</v>
      </c>
      <c r="C134" s="17" t="s">
        <v>20</v>
      </c>
      <c r="D134" s="17" t="s">
        <v>20</v>
      </c>
      <c r="E134" s="17">
        <v>65</v>
      </c>
      <c r="F134" s="18" t="s">
        <v>29</v>
      </c>
      <c r="G134" s="19"/>
      <c r="H134" s="20" t="s">
        <v>62</v>
      </c>
      <c r="I134" s="20"/>
      <c r="J134" s="19" t="s">
        <v>153</v>
      </c>
      <c r="K134" s="16" t="s">
        <v>16</v>
      </c>
      <c r="L134" s="19">
        <f t="shared" si="3"/>
        <v>1</v>
      </c>
      <c r="M134" s="21" t="str">
        <f t="shared" si="0"/>
        <v>X</v>
      </c>
      <c r="N134" s="21" t="str">
        <f t="shared" si="1"/>
        <v>X</v>
      </c>
      <c r="O134" s="34" t="str">
        <f t="shared" si="2"/>
        <v>X</v>
      </c>
    </row>
    <row r="135" spans="1:15" ht="14.25" customHeight="1" x14ac:dyDescent="0.55000000000000004">
      <c r="A135" s="16" t="s">
        <v>248</v>
      </c>
      <c r="B135" s="17">
        <v>131</v>
      </c>
      <c r="C135" s="17" t="s">
        <v>20</v>
      </c>
      <c r="D135" s="17" t="s">
        <v>20</v>
      </c>
      <c r="E135" s="17">
        <v>3</v>
      </c>
      <c r="F135" s="18" t="s">
        <v>29</v>
      </c>
      <c r="G135" s="19"/>
      <c r="H135" s="20" t="s">
        <v>62</v>
      </c>
      <c r="I135" s="20"/>
      <c r="J135" s="19" t="s">
        <v>42</v>
      </c>
      <c r="K135" s="16" t="s">
        <v>16</v>
      </c>
      <c r="L135" s="19">
        <f t="shared" si="3"/>
        <v>1</v>
      </c>
      <c r="M135" s="21" t="str">
        <f t="shared" si="0"/>
        <v>X</v>
      </c>
      <c r="N135" s="21" t="str">
        <f t="shared" si="1"/>
        <v>X</v>
      </c>
      <c r="O135" s="34" t="str">
        <f t="shared" si="2"/>
        <v>X</v>
      </c>
    </row>
    <row r="136" spans="1:15" ht="14.25" customHeight="1" x14ac:dyDescent="0.55000000000000004">
      <c r="A136" s="16" t="s">
        <v>249</v>
      </c>
      <c r="B136" s="17">
        <v>132</v>
      </c>
      <c r="C136" s="17" t="s">
        <v>20</v>
      </c>
      <c r="D136" s="17" t="s">
        <v>20</v>
      </c>
      <c r="E136" s="17">
        <v>65</v>
      </c>
      <c r="F136" s="18" t="s">
        <v>29</v>
      </c>
      <c r="G136" s="19"/>
      <c r="H136" s="20" t="s">
        <v>62</v>
      </c>
      <c r="I136" s="20"/>
      <c r="J136" s="19" t="s">
        <v>156</v>
      </c>
      <c r="K136" s="16" t="s">
        <v>16</v>
      </c>
      <c r="L136" s="19">
        <f t="shared" si="3"/>
        <v>1</v>
      </c>
      <c r="M136" s="21" t="str">
        <f t="shared" si="0"/>
        <v>X</v>
      </c>
      <c r="N136" s="21" t="str">
        <f t="shared" si="1"/>
        <v>X</v>
      </c>
      <c r="O136" s="34" t="str">
        <f t="shared" si="2"/>
        <v>X</v>
      </c>
    </row>
    <row r="137" spans="1:15" ht="14.25" customHeight="1" x14ac:dyDescent="0.55000000000000004">
      <c r="A137" s="16" t="s">
        <v>250</v>
      </c>
      <c r="B137" s="17">
        <v>133</v>
      </c>
      <c r="C137" s="17" t="s">
        <v>20</v>
      </c>
      <c r="D137" s="17" t="s">
        <v>20</v>
      </c>
      <c r="E137" s="17">
        <v>50</v>
      </c>
      <c r="F137" s="18" t="s">
        <v>29</v>
      </c>
      <c r="G137" s="19"/>
      <c r="H137" s="20" t="s">
        <v>62</v>
      </c>
      <c r="I137" s="20"/>
      <c r="J137" s="19" t="s">
        <v>158</v>
      </c>
      <c r="K137" s="16" t="s">
        <v>16</v>
      </c>
      <c r="L137" s="19">
        <f t="shared" si="3"/>
        <v>1</v>
      </c>
      <c r="M137" s="21" t="str">
        <f t="shared" si="0"/>
        <v>X</v>
      </c>
      <c r="N137" s="21" t="str">
        <f t="shared" si="1"/>
        <v>X</v>
      </c>
      <c r="O137" s="34" t="str">
        <f t="shared" si="2"/>
        <v>X</v>
      </c>
    </row>
    <row r="138" spans="1:15" ht="14.25" customHeight="1" x14ac:dyDescent="0.55000000000000004">
      <c r="A138" s="16" t="s">
        <v>251</v>
      </c>
      <c r="B138" s="17">
        <v>134</v>
      </c>
      <c r="C138" s="17" t="s">
        <v>20</v>
      </c>
      <c r="D138" s="17" t="s">
        <v>20</v>
      </c>
      <c r="E138" s="17">
        <v>150</v>
      </c>
      <c r="F138" s="18" t="s">
        <v>29</v>
      </c>
      <c r="G138" s="19"/>
      <c r="H138" s="20" t="s">
        <v>62</v>
      </c>
      <c r="I138" s="20"/>
      <c r="J138" s="19" t="s">
        <v>160</v>
      </c>
      <c r="K138" s="16" t="s">
        <v>16</v>
      </c>
      <c r="L138" s="19">
        <f t="shared" si="3"/>
        <v>1</v>
      </c>
      <c r="M138" s="21" t="str">
        <f t="shared" si="0"/>
        <v>X</v>
      </c>
      <c r="N138" s="21" t="str">
        <f t="shared" si="1"/>
        <v>X</v>
      </c>
      <c r="O138" s="34" t="str">
        <f t="shared" si="2"/>
        <v>X</v>
      </c>
    </row>
    <row r="139" spans="1:15" ht="14.25" customHeight="1" x14ac:dyDescent="0.55000000000000004">
      <c r="A139" s="16" t="s">
        <v>252</v>
      </c>
      <c r="B139" s="17">
        <v>135</v>
      </c>
      <c r="C139" s="17" t="s">
        <v>20</v>
      </c>
      <c r="D139" s="17" t="s">
        <v>20</v>
      </c>
      <c r="E139" s="17">
        <v>150</v>
      </c>
      <c r="F139" s="18" t="s">
        <v>29</v>
      </c>
      <c r="G139" s="19"/>
      <c r="H139" s="20" t="s">
        <v>62</v>
      </c>
      <c r="I139" s="20"/>
      <c r="J139" s="19" t="s">
        <v>162</v>
      </c>
      <c r="K139" s="16" t="s">
        <v>16</v>
      </c>
      <c r="L139" s="19">
        <f t="shared" si="3"/>
        <v>1</v>
      </c>
      <c r="M139" s="21" t="str">
        <f t="shared" si="0"/>
        <v>X</v>
      </c>
      <c r="N139" s="21" t="str">
        <f t="shared" si="1"/>
        <v>X</v>
      </c>
      <c r="O139" s="34" t="str">
        <f t="shared" si="2"/>
        <v>X</v>
      </c>
    </row>
    <row r="140" spans="1:15" ht="14.25" customHeight="1" x14ac:dyDescent="0.55000000000000004">
      <c r="A140" s="16" t="s">
        <v>253</v>
      </c>
      <c r="B140" s="17">
        <v>136</v>
      </c>
      <c r="C140" s="17" t="s">
        <v>20</v>
      </c>
      <c r="D140" s="17" t="s">
        <v>20</v>
      </c>
      <c r="E140" s="17">
        <v>40</v>
      </c>
      <c r="F140" s="18" t="s">
        <v>29</v>
      </c>
      <c r="G140" s="19"/>
      <c r="H140" s="20" t="s">
        <v>62</v>
      </c>
      <c r="I140" s="20"/>
      <c r="J140" s="19" t="s">
        <v>164</v>
      </c>
      <c r="K140" s="16" t="s">
        <v>16</v>
      </c>
      <c r="L140" s="19">
        <f t="shared" si="3"/>
        <v>1</v>
      </c>
      <c r="M140" s="21" t="str">
        <f t="shared" si="0"/>
        <v>X</v>
      </c>
      <c r="N140" s="21" t="str">
        <f t="shared" si="1"/>
        <v>X</v>
      </c>
      <c r="O140" s="34" t="str">
        <f t="shared" si="2"/>
        <v>X</v>
      </c>
    </row>
    <row r="141" spans="1:15" ht="14.25" customHeight="1" x14ac:dyDescent="0.55000000000000004">
      <c r="A141" s="16" t="s">
        <v>254</v>
      </c>
      <c r="B141" s="17">
        <v>137</v>
      </c>
      <c r="C141" s="17" t="s">
        <v>20</v>
      </c>
      <c r="D141" s="17" t="s">
        <v>20</v>
      </c>
      <c r="E141" s="17">
        <v>50</v>
      </c>
      <c r="F141" s="18" t="s">
        <v>29</v>
      </c>
      <c r="G141" s="19"/>
      <c r="H141" s="20" t="s">
        <v>62</v>
      </c>
      <c r="I141" s="20" t="s">
        <v>77</v>
      </c>
      <c r="J141" s="19" t="s">
        <v>166</v>
      </c>
      <c r="K141" s="16" t="s">
        <v>16</v>
      </c>
      <c r="L141" s="19">
        <f t="shared" si="3"/>
        <v>1</v>
      </c>
      <c r="M141" s="21" t="str">
        <f t="shared" si="0"/>
        <v>X</v>
      </c>
      <c r="N141" s="21" t="str">
        <f t="shared" si="1"/>
        <v>X</v>
      </c>
      <c r="O141" s="34" t="str">
        <f t="shared" si="2"/>
        <v>X</v>
      </c>
    </row>
    <row r="142" spans="1:15" ht="14.25" customHeight="1" x14ac:dyDescent="0.55000000000000004">
      <c r="A142" s="16" t="s">
        <v>255</v>
      </c>
      <c r="B142" s="17">
        <v>138</v>
      </c>
      <c r="C142" s="17" t="s">
        <v>20</v>
      </c>
      <c r="D142" s="17" t="s">
        <v>79</v>
      </c>
      <c r="E142" s="17">
        <v>4</v>
      </c>
      <c r="F142" s="18" t="s">
        <v>29</v>
      </c>
      <c r="G142" s="19"/>
      <c r="H142" s="20" t="s">
        <v>62</v>
      </c>
      <c r="I142" s="20"/>
      <c r="J142" s="19" t="s">
        <v>168</v>
      </c>
      <c r="K142" s="16" t="s">
        <v>16</v>
      </c>
      <c r="L142" s="19">
        <f t="shared" si="3"/>
        <v>1</v>
      </c>
      <c r="M142" s="21" t="str">
        <f t="shared" si="0"/>
        <v>X</v>
      </c>
      <c r="N142" s="21" t="str">
        <f t="shared" si="1"/>
        <v>X</v>
      </c>
      <c r="O142" s="34" t="str">
        <f t="shared" si="2"/>
        <v>X</v>
      </c>
    </row>
    <row r="143" spans="1:15" ht="14.25" customHeight="1" x14ac:dyDescent="0.55000000000000004">
      <c r="A143" s="16" t="s">
        <v>256</v>
      </c>
      <c r="B143" s="17">
        <v>139</v>
      </c>
      <c r="C143" s="17" t="s">
        <v>20</v>
      </c>
      <c r="D143" s="17" t="s">
        <v>20</v>
      </c>
      <c r="E143" s="17">
        <v>3</v>
      </c>
      <c r="F143" s="18" t="s">
        <v>29</v>
      </c>
      <c r="G143" s="19"/>
      <c r="H143" s="20" t="s">
        <v>62</v>
      </c>
      <c r="I143" s="20"/>
      <c r="J143" s="19" t="s">
        <v>83</v>
      </c>
      <c r="K143" s="16" t="s">
        <v>16</v>
      </c>
      <c r="L143" s="19">
        <f t="shared" si="3"/>
        <v>1</v>
      </c>
      <c r="M143" s="21" t="str">
        <f t="shared" si="0"/>
        <v>X</v>
      </c>
      <c r="N143" s="21" t="str">
        <f t="shared" si="1"/>
        <v>X</v>
      </c>
      <c r="O143" s="34" t="str">
        <f t="shared" si="2"/>
        <v>X</v>
      </c>
    </row>
    <row r="144" spans="1:15" ht="14.25" customHeight="1" x14ac:dyDescent="0.55000000000000004">
      <c r="A144" s="16" t="s">
        <v>257</v>
      </c>
      <c r="B144" s="17">
        <v>140</v>
      </c>
      <c r="C144" s="17" t="s">
        <v>20</v>
      </c>
      <c r="D144" s="17" t="s">
        <v>20</v>
      </c>
      <c r="E144" s="17">
        <v>55</v>
      </c>
      <c r="F144" s="18" t="s">
        <v>29</v>
      </c>
      <c r="G144" s="19"/>
      <c r="H144" s="20" t="s">
        <v>62</v>
      </c>
      <c r="I144" s="20" t="s">
        <v>74</v>
      </c>
      <c r="J144" s="19" t="s">
        <v>171</v>
      </c>
      <c r="K144" s="16" t="s">
        <v>16</v>
      </c>
      <c r="L144" s="19">
        <f t="shared" si="3"/>
        <v>1</v>
      </c>
      <c r="M144" s="21" t="str">
        <f t="shared" si="0"/>
        <v>X</v>
      </c>
      <c r="N144" s="21" t="str">
        <f t="shared" si="1"/>
        <v>X</v>
      </c>
      <c r="O144" s="34" t="str">
        <f t="shared" si="2"/>
        <v>X</v>
      </c>
    </row>
    <row r="145" spans="1:15" ht="14.25" customHeight="1" x14ac:dyDescent="0.55000000000000004">
      <c r="A145" s="16" t="s">
        <v>258</v>
      </c>
      <c r="B145" s="17">
        <v>141</v>
      </c>
      <c r="C145" s="17" t="s">
        <v>20</v>
      </c>
      <c r="D145" s="17" t="s">
        <v>79</v>
      </c>
      <c r="E145" s="17">
        <v>30</v>
      </c>
      <c r="F145" s="18" t="s">
        <v>29</v>
      </c>
      <c r="G145" s="19"/>
      <c r="H145" s="20" t="s">
        <v>62</v>
      </c>
      <c r="I145" s="20" t="s">
        <v>77</v>
      </c>
      <c r="J145" s="19" t="s">
        <v>173</v>
      </c>
      <c r="K145" s="16" t="s">
        <v>17</v>
      </c>
      <c r="L145" s="19">
        <f t="shared" si="3"/>
        <v>2</v>
      </c>
      <c r="M145" s="21" t="str">
        <f t="shared" si="0"/>
        <v/>
      </c>
      <c r="N145" s="21" t="str">
        <f t="shared" si="1"/>
        <v>X</v>
      </c>
      <c r="O145" s="34" t="str">
        <f t="shared" si="2"/>
        <v>X</v>
      </c>
    </row>
    <row r="146" spans="1:15" ht="14.25" customHeight="1" x14ac:dyDescent="0.55000000000000004">
      <c r="A146" s="16" t="s">
        <v>259</v>
      </c>
      <c r="B146" s="17">
        <v>142</v>
      </c>
      <c r="C146" s="17" t="s">
        <v>20</v>
      </c>
      <c r="D146" s="17" t="s">
        <v>20</v>
      </c>
      <c r="E146" s="17">
        <v>25</v>
      </c>
      <c r="F146" s="18" t="s">
        <v>29</v>
      </c>
      <c r="G146" s="19"/>
      <c r="H146" s="20" t="s">
        <v>62</v>
      </c>
      <c r="I146" s="20"/>
      <c r="J146" s="19" t="s">
        <v>175</v>
      </c>
      <c r="K146" s="16" t="s">
        <v>17</v>
      </c>
      <c r="L146" s="19">
        <f t="shared" si="3"/>
        <v>2</v>
      </c>
      <c r="M146" s="21" t="str">
        <f t="shared" si="0"/>
        <v/>
      </c>
      <c r="N146" s="21" t="str">
        <f t="shared" si="1"/>
        <v>X</v>
      </c>
      <c r="O146" s="34" t="str">
        <f t="shared" si="2"/>
        <v>X</v>
      </c>
    </row>
    <row r="147" spans="1:15" ht="14.25" customHeight="1" x14ac:dyDescent="0.55000000000000004">
      <c r="A147" s="16" t="s">
        <v>260</v>
      </c>
      <c r="B147" s="17">
        <v>143</v>
      </c>
      <c r="C147" s="17" t="s">
        <v>20</v>
      </c>
      <c r="D147" s="17" t="s">
        <v>20</v>
      </c>
      <c r="E147" s="17">
        <v>30</v>
      </c>
      <c r="F147" s="18" t="s">
        <v>29</v>
      </c>
      <c r="G147" s="19"/>
      <c r="H147" s="20" t="s">
        <v>62</v>
      </c>
      <c r="I147" s="20" t="s">
        <v>177</v>
      </c>
      <c r="J147" s="19" t="s">
        <v>178</v>
      </c>
      <c r="K147" s="16" t="s">
        <v>17</v>
      </c>
      <c r="L147" s="19">
        <f t="shared" si="3"/>
        <v>2</v>
      </c>
      <c r="M147" s="21" t="str">
        <f t="shared" si="0"/>
        <v/>
      </c>
      <c r="N147" s="21" t="str">
        <f t="shared" si="1"/>
        <v>X</v>
      </c>
      <c r="O147" s="34" t="str">
        <f t="shared" si="2"/>
        <v>X</v>
      </c>
    </row>
    <row r="148" spans="1:15" ht="14.25" customHeight="1" x14ac:dyDescent="0.55000000000000004">
      <c r="A148" s="16" t="s">
        <v>261</v>
      </c>
      <c r="B148" s="17">
        <v>144</v>
      </c>
      <c r="C148" s="17" t="s">
        <v>20</v>
      </c>
      <c r="D148" s="17" t="s">
        <v>20</v>
      </c>
      <c r="E148" s="17">
        <v>30</v>
      </c>
      <c r="F148" s="18" t="s">
        <v>29</v>
      </c>
      <c r="G148" s="19"/>
      <c r="H148" s="20" t="s">
        <v>62</v>
      </c>
      <c r="I148" s="20"/>
      <c r="J148" s="19" t="s">
        <v>180</v>
      </c>
      <c r="K148" s="16" t="s">
        <v>17</v>
      </c>
      <c r="L148" s="19">
        <f t="shared" si="3"/>
        <v>2</v>
      </c>
      <c r="M148" s="21" t="str">
        <f t="shared" si="0"/>
        <v/>
      </c>
      <c r="N148" s="21" t="str">
        <f t="shared" si="1"/>
        <v>X</v>
      </c>
      <c r="O148" s="34" t="str">
        <f t="shared" si="2"/>
        <v>X</v>
      </c>
    </row>
    <row r="149" spans="1:15" ht="14.25" customHeight="1" x14ac:dyDescent="0.55000000000000004">
      <c r="A149" s="16" t="s">
        <v>262</v>
      </c>
      <c r="B149" s="17">
        <v>145</v>
      </c>
      <c r="C149" s="17" t="s">
        <v>20</v>
      </c>
      <c r="D149" s="17" t="s">
        <v>20</v>
      </c>
      <c r="E149" s="17">
        <v>80</v>
      </c>
      <c r="F149" s="18" t="s">
        <v>29</v>
      </c>
      <c r="G149" s="19"/>
      <c r="H149" s="20" t="s">
        <v>62</v>
      </c>
      <c r="I149" s="20"/>
      <c r="J149" s="19" t="s">
        <v>182</v>
      </c>
      <c r="K149" s="16" t="s">
        <v>17</v>
      </c>
      <c r="L149" s="19">
        <f t="shared" si="3"/>
        <v>2</v>
      </c>
      <c r="M149" s="21" t="str">
        <f t="shared" si="0"/>
        <v/>
      </c>
      <c r="N149" s="21" t="str">
        <f t="shared" si="1"/>
        <v>X</v>
      </c>
      <c r="O149" s="34" t="str">
        <f t="shared" si="2"/>
        <v>X</v>
      </c>
    </row>
    <row r="150" spans="1:15" ht="14.25" customHeight="1" x14ac:dyDescent="0.55000000000000004">
      <c r="A150" s="16" t="s">
        <v>263</v>
      </c>
      <c r="B150" s="17">
        <v>146</v>
      </c>
      <c r="C150" s="17" t="s">
        <v>20</v>
      </c>
      <c r="D150" s="17" t="s">
        <v>20</v>
      </c>
      <c r="E150" s="17">
        <v>65</v>
      </c>
      <c r="F150" s="18" t="s">
        <v>29</v>
      </c>
      <c r="G150" s="19"/>
      <c r="H150" s="20" t="s">
        <v>30</v>
      </c>
      <c r="I150" s="20"/>
      <c r="J150" s="19" t="s">
        <v>153</v>
      </c>
      <c r="K150" s="16" t="s">
        <v>17</v>
      </c>
      <c r="L150" s="19">
        <f t="shared" si="3"/>
        <v>2</v>
      </c>
      <c r="M150" s="21" t="str">
        <f t="shared" si="0"/>
        <v/>
      </c>
      <c r="N150" s="21" t="str">
        <f t="shared" si="1"/>
        <v>X</v>
      </c>
      <c r="O150" s="34" t="str">
        <f t="shared" si="2"/>
        <v>X</v>
      </c>
    </row>
    <row r="151" spans="1:15" ht="14.25" customHeight="1" x14ac:dyDescent="0.55000000000000004">
      <c r="A151" s="16" t="s">
        <v>264</v>
      </c>
      <c r="B151" s="17">
        <v>147</v>
      </c>
      <c r="C151" s="17" t="s">
        <v>20</v>
      </c>
      <c r="D151" s="17" t="s">
        <v>20</v>
      </c>
      <c r="E151" s="17">
        <v>3</v>
      </c>
      <c r="F151" s="18" t="s">
        <v>29</v>
      </c>
      <c r="G151" s="19"/>
      <c r="H151" s="20" t="s">
        <v>30</v>
      </c>
      <c r="I151" s="20"/>
      <c r="J151" s="19" t="s">
        <v>42</v>
      </c>
      <c r="K151" s="16" t="s">
        <v>17</v>
      </c>
      <c r="L151" s="19">
        <f t="shared" si="3"/>
        <v>2</v>
      </c>
      <c r="M151" s="21" t="str">
        <f t="shared" si="0"/>
        <v/>
      </c>
      <c r="N151" s="21" t="str">
        <f t="shared" si="1"/>
        <v>X</v>
      </c>
      <c r="O151" s="34" t="str">
        <f t="shared" si="2"/>
        <v>X</v>
      </c>
    </row>
    <row r="152" spans="1:15" ht="14.25" customHeight="1" x14ac:dyDescent="0.55000000000000004">
      <c r="A152" s="16" t="s">
        <v>265</v>
      </c>
      <c r="B152" s="17">
        <v>148</v>
      </c>
      <c r="C152" s="17" t="s">
        <v>20</v>
      </c>
      <c r="D152" s="17" t="s">
        <v>20</v>
      </c>
      <c r="E152" s="17">
        <v>65</v>
      </c>
      <c r="F152" s="18" t="s">
        <v>29</v>
      </c>
      <c r="G152" s="19"/>
      <c r="H152" s="20" t="s">
        <v>30</v>
      </c>
      <c r="I152" s="20"/>
      <c r="J152" s="19" t="s">
        <v>156</v>
      </c>
      <c r="K152" s="16" t="s">
        <v>17</v>
      </c>
      <c r="L152" s="19">
        <f t="shared" si="3"/>
        <v>2</v>
      </c>
      <c r="M152" s="21" t="str">
        <f t="shared" si="0"/>
        <v/>
      </c>
      <c r="N152" s="21" t="str">
        <f t="shared" si="1"/>
        <v>X</v>
      </c>
      <c r="O152" s="34" t="str">
        <f t="shared" si="2"/>
        <v>X</v>
      </c>
    </row>
    <row r="153" spans="1:15" ht="14.25" customHeight="1" x14ac:dyDescent="0.55000000000000004">
      <c r="A153" s="16" t="s">
        <v>266</v>
      </c>
      <c r="B153" s="17">
        <v>149</v>
      </c>
      <c r="C153" s="17" t="s">
        <v>20</v>
      </c>
      <c r="D153" s="17" t="s">
        <v>20</v>
      </c>
      <c r="E153" s="17">
        <v>50</v>
      </c>
      <c r="F153" s="18" t="s">
        <v>29</v>
      </c>
      <c r="G153" s="19"/>
      <c r="H153" s="20" t="s">
        <v>30</v>
      </c>
      <c r="I153" s="20"/>
      <c r="J153" s="19" t="s">
        <v>158</v>
      </c>
      <c r="K153" s="16" t="s">
        <v>17</v>
      </c>
      <c r="L153" s="19">
        <f t="shared" si="3"/>
        <v>2</v>
      </c>
      <c r="M153" s="21" t="str">
        <f t="shared" si="0"/>
        <v/>
      </c>
      <c r="N153" s="21" t="str">
        <f t="shared" si="1"/>
        <v>X</v>
      </c>
      <c r="O153" s="34" t="str">
        <f t="shared" si="2"/>
        <v>X</v>
      </c>
    </row>
    <row r="154" spans="1:15" ht="14.25" customHeight="1" x14ac:dyDescent="0.55000000000000004">
      <c r="A154" s="16" t="s">
        <v>267</v>
      </c>
      <c r="B154" s="17">
        <v>150</v>
      </c>
      <c r="C154" s="17" t="s">
        <v>20</v>
      </c>
      <c r="D154" s="17" t="s">
        <v>20</v>
      </c>
      <c r="E154" s="17">
        <v>150</v>
      </c>
      <c r="F154" s="18" t="s">
        <v>29</v>
      </c>
      <c r="G154" s="19"/>
      <c r="H154" s="20" t="s">
        <v>30</v>
      </c>
      <c r="I154" s="20"/>
      <c r="J154" s="19" t="s">
        <v>160</v>
      </c>
      <c r="K154" s="16" t="s">
        <v>17</v>
      </c>
      <c r="L154" s="19">
        <f t="shared" si="3"/>
        <v>2</v>
      </c>
      <c r="M154" s="21" t="str">
        <f t="shared" si="0"/>
        <v/>
      </c>
      <c r="N154" s="21" t="str">
        <f t="shared" si="1"/>
        <v>X</v>
      </c>
      <c r="O154" s="34" t="str">
        <f t="shared" si="2"/>
        <v>X</v>
      </c>
    </row>
    <row r="155" spans="1:15" ht="14.25" customHeight="1" x14ac:dyDescent="0.55000000000000004">
      <c r="A155" s="16" t="s">
        <v>268</v>
      </c>
      <c r="B155" s="17">
        <v>151</v>
      </c>
      <c r="C155" s="17" t="s">
        <v>20</v>
      </c>
      <c r="D155" s="17" t="s">
        <v>20</v>
      </c>
      <c r="E155" s="17">
        <v>150</v>
      </c>
      <c r="F155" s="18" t="s">
        <v>29</v>
      </c>
      <c r="G155" s="19"/>
      <c r="H155" s="20" t="s">
        <v>30</v>
      </c>
      <c r="I155" s="20"/>
      <c r="J155" s="19" t="s">
        <v>162</v>
      </c>
      <c r="K155" s="16" t="s">
        <v>17</v>
      </c>
      <c r="L155" s="19">
        <f t="shared" si="3"/>
        <v>2</v>
      </c>
      <c r="M155" s="21" t="str">
        <f t="shared" si="0"/>
        <v/>
      </c>
      <c r="N155" s="21" t="str">
        <f t="shared" si="1"/>
        <v>X</v>
      </c>
      <c r="O155" s="34" t="str">
        <f t="shared" si="2"/>
        <v>X</v>
      </c>
    </row>
    <row r="156" spans="1:15" ht="14.25" customHeight="1" x14ac:dyDescent="0.55000000000000004">
      <c r="A156" s="16" t="s">
        <v>269</v>
      </c>
      <c r="B156" s="17">
        <v>152</v>
      </c>
      <c r="C156" s="17" t="s">
        <v>20</v>
      </c>
      <c r="D156" s="17" t="s">
        <v>20</v>
      </c>
      <c r="E156" s="17">
        <v>40</v>
      </c>
      <c r="F156" s="18" t="s">
        <v>29</v>
      </c>
      <c r="G156" s="19"/>
      <c r="H156" s="20" t="s">
        <v>30</v>
      </c>
      <c r="I156" s="20"/>
      <c r="J156" s="19" t="s">
        <v>164</v>
      </c>
      <c r="K156" s="16" t="s">
        <v>17</v>
      </c>
      <c r="L156" s="19">
        <f t="shared" si="3"/>
        <v>2</v>
      </c>
      <c r="M156" s="21" t="str">
        <f t="shared" si="0"/>
        <v/>
      </c>
      <c r="N156" s="21" t="str">
        <f t="shared" si="1"/>
        <v>X</v>
      </c>
      <c r="O156" s="34" t="str">
        <f t="shared" si="2"/>
        <v>X</v>
      </c>
    </row>
    <row r="157" spans="1:15" ht="14.25" customHeight="1" x14ac:dyDescent="0.55000000000000004">
      <c r="A157" s="16" t="s">
        <v>270</v>
      </c>
      <c r="B157" s="17">
        <v>153</v>
      </c>
      <c r="C157" s="17" t="s">
        <v>20</v>
      </c>
      <c r="D157" s="18" t="s">
        <v>20</v>
      </c>
      <c r="E157" s="17">
        <v>50</v>
      </c>
      <c r="F157" s="18" t="s">
        <v>29</v>
      </c>
      <c r="G157" s="20"/>
      <c r="H157" s="20" t="s">
        <v>30</v>
      </c>
      <c r="I157" s="20" t="s">
        <v>77</v>
      </c>
      <c r="J157" s="20" t="s">
        <v>166</v>
      </c>
      <c r="K157" s="16" t="s">
        <v>17</v>
      </c>
      <c r="L157" s="19">
        <f t="shared" si="3"/>
        <v>2</v>
      </c>
      <c r="M157" s="21" t="str">
        <f t="shared" si="0"/>
        <v/>
      </c>
      <c r="N157" s="21" t="str">
        <f t="shared" si="1"/>
        <v>X</v>
      </c>
      <c r="O157" s="34" t="str">
        <f t="shared" si="2"/>
        <v>X</v>
      </c>
    </row>
    <row r="158" spans="1:15" ht="14.25" customHeight="1" x14ac:dyDescent="0.55000000000000004">
      <c r="A158" s="16" t="s">
        <v>271</v>
      </c>
      <c r="B158" s="17">
        <v>154</v>
      </c>
      <c r="C158" s="17" t="s">
        <v>20</v>
      </c>
      <c r="D158" s="17" t="s">
        <v>79</v>
      </c>
      <c r="E158" s="17">
        <v>4</v>
      </c>
      <c r="F158" s="18" t="s">
        <v>29</v>
      </c>
      <c r="G158" s="19"/>
      <c r="H158" s="20" t="s">
        <v>30</v>
      </c>
      <c r="I158" s="20"/>
      <c r="J158" s="19" t="s">
        <v>168</v>
      </c>
      <c r="K158" s="16" t="s">
        <v>17</v>
      </c>
      <c r="L158" s="19">
        <f t="shared" si="3"/>
        <v>2</v>
      </c>
      <c r="M158" s="21" t="str">
        <f t="shared" si="0"/>
        <v/>
      </c>
      <c r="N158" s="21" t="str">
        <f t="shared" si="1"/>
        <v>X</v>
      </c>
      <c r="O158" s="34" t="str">
        <f t="shared" si="2"/>
        <v>X</v>
      </c>
    </row>
    <row r="159" spans="1:15" ht="14.25" customHeight="1" x14ac:dyDescent="0.55000000000000004">
      <c r="A159" s="16" t="s">
        <v>272</v>
      </c>
      <c r="B159" s="17">
        <v>155</v>
      </c>
      <c r="C159" s="17" t="s">
        <v>20</v>
      </c>
      <c r="D159" s="17" t="s">
        <v>20</v>
      </c>
      <c r="E159" s="17">
        <v>3</v>
      </c>
      <c r="F159" s="18" t="s">
        <v>29</v>
      </c>
      <c r="G159" s="19"/>
      <c r="H159" s="20" t="s">
        <v>30</v>
      </c>
      <c r="I159" s="20"/>
      <c r="J159" s="19" t="s">
        <v>83</v>
      </c>
      <c r="K159" s="16" t="s">
        <v>17</v>
      </c>
      <c r="L159" s="19">
        <f t="shared" si="3"/>
        <v>2</v>
      </c>
      <c r="M159" s="21" t="str">
        <f t="shared" si="0"/>
        <v/>
      </c>
      <c r="N159" s="21" t="str">
        <f t="shared" si="1"/>
        <v>X</v>
      </c>
      <c r="O159" s="34" t="str">
        <f t="shared" si="2"/>
        <v>X</v>
      </c>
    </row>
    <row r="160" spans="1:15" ht="14.25" customHeight="1" x14ac:dyDescent="0.55000000000000004">
      <c r="A160" s="16" t="s">
        <v>273</v>
      </c>
      <c r="B160" s="17">
        <v>156</v>
      </c>
      <c r="C160" s="17" t="s">
        <v>20</v>
      </c>
      <c r="D160" s="17" t="s">
        <v>20</v>
      </c>
      <c r="E160" s="17">
        <v>55</v>
      </c>
      <c r="F160" s="18" t="s">
        <v>29</v>
      </c>
      <c r="G160" s="19"/>
      <c r="H160" s="20" t="s">
        <v>30</v>
      </c>
      <c r="I160" s="20" t="s">
        <v>74</v>
      </c>
      <c r="J160" s="19" t="s">
        <v>171</v>
      </c>
      <c r="K160" s="16" t="s">
        <v>17</v>
      </c>
      <c r="L160" s="19">
        <f t="shared" si="3"/>
        <v>2</v>
      </c>
      <c r="M160" s="21" t="str">
        <f t="shared" si="0"/>
        <v/>
      </c>
      <c r="N160" s="21" t="str">
        <f t="shared" si="1"/>
        <v>X</v>
      </c>
      <c r="O160" s="34" t="str">
        <f t="shared" si="2"/>
        <v>X</v>
      </c>
    </row>
    <row r="161" spans="1:15" ht="14.25" customHeight="1" x14ac:dyDescent="0.55000000000000004">
      <c r="A161" s="16" t="s">
        <v>274</v>
      </c>
      <c r="B161" s="17">
        <v>157</v>
      </c>
      <c r="C161" s="17" t="s">
        <v>20</v>
      </c>
      <c r="D161" s="17" t="s">
        <v>79</v>
      </c>
      <c r="E161" s="17">
        <v>30</v>
      </c>
      <c r="F161" s="18" t="s">
        <v>29</v>
      </c>
      <c r="G161" s="19"/>
      <c r="H161" s="20" t="s">
        <v>30</v>
      </c>
      <c r="I161" s="20" t="s">
        <v>77</v>
      </c>
      <c r="J161" s="19" t="s">
        <v>173</v>
      </c>
      <c r="K161" s="16" t="s">
        <v>17</v>
      </c>
      <c r="L161" s="19">
        <f t="shared" si="3"/>
        <v>2</v>
      </c>
      <c r="M161" s="21" t="str">
        <f t="shared" si="0"/>
        <v/>
      </c>
      <c r="N161" s="21" t="str">
        <f t="shared" si="1"/>
        <v>X</v>
      </c>
      <c r="O161" s="34" t="str">
        <f t="shared" si="2"/>
        <v>X</v>
      </c>
    </row>
    <row r="162" spans="1:15" ht="14.25" customHeight="1" x14ac:dyDescent="0.55000000000000004">
      <c r="A162" s="16" t="s">
        <v>275</v>
      </c>
      <c r="B162" s="17">
        <v>158</v>
      </c>
      <c r="C162" s="17" t="s">
        <v>20</v>
      </c>
      <c r="D162" s="18" t="s">
        <v>20</v>
      </c>
      <c r="E162" s="17">
        <v>25</v>
      </c>
      <c r="F162" s="18" t="s">
        <v>29</v>
      </c>
      <c r="G162" s="20"/>
      <c r="H162" s="20" t="s">
        <v>30</v>
      </c>
      <c r="I162" s="20"/>
      <c r="J162" s="20" t="s">
        <v>175</v>
      </c>
      <c r="K162" s="16" t="s">
        <v>17</v>
      </c>
      <c r="L162" s="19">
        <f t="shared" si="3"/>
        <v>2</v>
      </c>
      <c r="M162" s="21" t="str">
        <f t="shared" si="0"/>
        <v/>
      </c>
      <c r="N162" s="21" t="str">
        <f t="shared" si="1"/>
        <v>X</v>
      </c>
      <c r="O162" s="34" t="str">
        <f t="shared" si="2"/>
        <v>X</v>
      </c>
    </row>
    <row r="163" spans="1:15" ht="14.25" customHeight="1" x14ac:dyDescent="0.55000000000000004">
      <c r="A163" s="16" t="s">
        <v>276</v>
      </c>
      <c r="B163" s="17">
        <v>159</v>
      </c>
      <c r="C163" s="17" t="s">
        <v>20</v>
      </c>
      <c r="D163" s="18" t="s">
        <v>20</v>
      </c>
      <c r="E163" s="18">
        <v>30</v>
      </c>
      <c r="F163" s="18" t="s">
        <v>29</v>
      </c>
      <c r="G163" s="20"/>
      <c r="H163" s="20" t="s">
        <v>30</v>
      </c>
      <c r="I163" s="20" t="s">
        <v>177</v>
      </c>
      <c r="J163" s="20" t="s">
        <v>178</v>
      </c>
      <c r="K163" s="16" t="s">
        <v>17</v>
      </c>
      <c r="L163" s="19">
        <f t="shared" si="3"/>
        <v>2</v>
      </c>
      <c r="M163" s="21" t="str">
        <f t="shared" si="0"/>
        <v/>
      </c>
      <c r="N163" s="21" t="str">
        <f t="shared" si="1"/>
        <v>X</v>
      </c>
      <c r="O163" s="34" t="str">
        <f t="shared" si="2"/>
        <v>X</v>
      </c>
    </row>
    <row r="164" spans="1:15" ht="14.25" customHeight="1" x14ac:dyDescent="0.55000000000000004">
      <c r="A164" s="16" t="s">
        <v>277</v>
      </c>
      <c r="B164" s="17">
        <v>160</v>
      </c>
      <c r="C164" s="17" t="s">
        <v>20</v>
      </c>
      <c r="D164" s="18" t="s">
        <v>20</v>
      </c>
      <c r="E164" s="18">
        <v>30</v>
      </c>
      <c r="F164" s="18" t="s">
        <v>29</v>
      </c>
      <c r="G164" s="20"/>
      <c r="H164" s="20" t="s">
        <v>30</v>
      </c>
      <c r="I164" s="20"/>
      <c r="J164" s="20" t="s">
        <v>180</v>
      </c>
      <c r="K164" s="16" t="s">
        <v>17</v>
      </c>
      <c r="L164" s="19">
        <f t="shared" si="3"/>
        <v>2</v>
      </c>
      <c r="M164" s="21" t="str">
        <f t="shared" si="0"/>
        <v/>
      </c>
      <c r="N164" s="21" t="str">
        <f t="shared" si="1"/>
        <v>X</v>
      </c>
      <c r="O164" s="34" t="str">
        <f t="shared" si="2"/>
        <v>X</v>
      </c>
    </row>
    <row r="165" spans="1:15" ht="14.25" customHeight="1" x14ac:dyDescent="0.55000000000000004">
      <c r="A165" s="16" t="s">
        <v>278</v>
      </c>
      <c r="B165" s="17">
        <v>161</v>
      </c>
      <c r="C165" s="17" t="s">
        <v>20</v>
      </c>
      <c r="D165" s="17" t="s">
        <v>20</v>
      </c>
      <c r="E165" s="17">
        <v>80</v>
      </c>
      <c r="F165" s="18" t="s">
        <v>29</v>
      </c>
      <c r="G165" s="19"/>
      <c r="H165" s="20" t="s">
        <v>30</v>
      </c>
      <c r="I165" s="20"/>
      <c r="J165" s="19" t="s">
        <v>182</v>
      </c>
      <c r="K165" s="16" t="s">
        <v>17</v>
      </c>
      <c r="L165" s="19">
        <f t="shared" si="3"/>
        <v>2</v>
      </c>
      <c r="M165" s="21" t="str">
        <f t="shared" si="0"/>
        <v/>
      </c>
      <c r="N165" s="21" t="str">
        <f t="shared" si="1"/>
        <v>X</v>
      </c>
      <c r="O165" s="34" t="str">
        <f t="shared" si="2"/>
        <v>X</v>
      </c>
    </row>
    <row r="166" spans="1:15" ht="14.25" customHeight="1" x14ac:dyDescent="0.55000000000000004">
      <c r="A166" s="16" t="s">
        <v>279</v>
      </c>
      <c r="B166" s="17">
        <v>162</v>
      </c>
      <c r="C166" s="17" t="s">
        <v>20</v>
      </c>
      <c r="D166" s="17" t="s">
        <v>20</v>
      </c>
      <c r="E166" s="17">
        <v>65</v>
      </c>
      <c r="F166" s="18" t="s">
        <v>29</v>
      </c>
      <c r="G166" s="19"/>
      <c r="H166" s="20" t="s">
        <v>62</v>
      </c>
      <c r="I166" s="20"/>
      <c r="J166" s="19" t="s">
        <v>153</v>
      </c>
      <c r="K166" s="16" t="s">
        <v>17</v>
      </c>
      <c r="L166" s="19">
        <f t="shared" si="3"/>
        <v>2</v>
      </c>
      <c r="M166" s="21" t="str">
        <f t="shared" si="0"/>
        <v/>
      </c>
      <c r="N166" s="21" t="str">
        <f t="shared" si="1"/>
        <v>X</v>
      </c>
      <c r="O166" s="34" t="str">
        <f t="shared" si="2"/>
        <v>X</v>
      </c>
    </row>
    <row r="167" spans="1:15" ht="14.25" customHeight="1" x14ac:dyDescent="0.55000000000000004">
      <c r="A167" s="16" t="s">
        <v>280</v>
      </c>
      <c r="B167" s="17">
        <v>163</v>
      </c>
      <c r="C167" s="17" t="s">
        <v>20</v>
      </c>
      <c r="D167" s="17" t="s">
        <v>20</v>
      </c>
      <c r="E167" s="17">
        <v>3</v>
      </c>
      <c r="F167" s="18" t="s">
        <v>29</v>
      </c>
      <c r="G167" s="19"/>
      <c r="H167" s="20" t="s">
        <v>62</v>
      </c>
      <c r="I167" s="20"/>
      <c r="J167" s="19" t="s">
        <v>42</v>
      </c>
      <c r="K167" s="16" t="s">
        <v>17</v>
      </c>
      <c r="L167" s="19">
        <f t="shared" si="3"/>
        <v>2</v>
      </c>
      <c r="M167" s="21" t="str">
        <f t="shared" si="0"/>
        <v/>
      </c>
      <c r="N167" s="21" t="str">
        <f t="shared" si="1"/>
        <v>X</v>
      </c>
      <c r="O167" s="34" t="str">
        <f t="shared" si="2"/>
        <v>X</v>
      </c>
    </row>
    <row r="168" spans="1:15" ht="14.25" customHeight="1" x14ac:dyDescent="0.55000000000000004">
      <c r="A168" s="16" t="s">
        <v>281</v>
      </c>
      <c r="B168" s="17">
        <v>164</v>
      </c>
      <c r="C168" s="17" t="s">
        <v>20</v>
      </c>
      <c r="D168" s="17" t="s">
        <v>20</v>
      </c>
      <c r="E168" s="17">
        <v>65</v>
      </c>
      <c r="F168" s="18" t="s">
        <v>29</v>
      </c>
      <c r="G168" s="19"/>
      <c r="H168" s="20" t="s">
        <v>62</v>
      </c>
      <c r="I168" s="20"/>
      <c r="J168" s="19" t="s">
        <v>156</v>
      </c>
      <c r="K168" s="16" t="s">
        <v>17</v>
      </c>
      <c r="L168" s="19">
        <f t="shared" si="3"/>
        <v>2</v>
      </c>
      <c r="M168" s="21" t="str">
        <f t="shared" si="0"/>
        <v/>
      </c>
      <c r="N168" s="21" t="str">
        <f t="shared" si="1"/>
        <v>X</v>
      </c>
      <c r="O168" s="34" t="str">
        <f t="shared" si="2"/>
        <v>X</v>
      </c>
    </row>
    <row r="169" spans="1:15" ht="14.25" customHeight="1" x14ac:dyDescent="0.55000000000000004">
      <c r="A169" s="16" t="s">
        <v>282</v>
      </c>
      <c r="B169" s="17">
        <v>165</v>
      </c>
      <c r="C169" s="17" t="s">
        <v>20</v>
      </c>
      <c r="D169" s="17" t="s">
        <v>20</v>
      </c>
      <c r="E169" s="17">
        <v>50</v>
      </c>
      <c r="F169" s="18" t="s">
        <v>29</v>
      </c>
      <c r="G169" s="19"/>
      <c r="H169" s="20" t="s">
        <v>62</v>
      </c>
      <c r="I169" s="20"/>
      <c r="J169" s="19" t="s">
        <v>158</v>
      </c>
      <c r="K169" s="16" t="s">
        <v>17</v>
      </c>
      <c r="L169" s="19">
        <f t="shared" si="3"/>
        <v>2</v>
      </c>
      <c r="M169" s="21" t="str">
        <f t="shared" si="0"/>
        <v/>
      </c>
      <c r="N169" s="21" t="str">
        <f t="shared" si="1"/>
        <v>X</v>
      </c>
      <c r="O169" s="34" t="str">
        <f t="shared" si="2"/>
        <v>X</v>
      </c>
    </row>
    <row r="170" spans="1:15" ht="14.25" customHeight="1" x14ac:dyDescent="0.55000000000000004">
      <c r="A170" s="16" t="s">
        <v>283</v>
      </c>
      <c r="B170" s="17">
        <v>166</v>
      </c>
      <c r="C170" s="17" t="s">
        <v>20</v>
      </c>
      <c r="D170" s="17" t="s">
        <v>79</v>
      </c>
      <c r="E170" s="17">
        <v>30</v>
      </c>
      <c r="F170" s="18" t="s">
        <v>29</v>
      </c>
      <c r="G170" s="19"/>
      <c r="H170" s="20" t="s">
        <v>62</v>
      </c>
      <c r="I170" s="20" t="s">
        <v>77</v>
      </c>
      <c r="J170" s="19" t="s">
        <v>173</v>
      </c>
      <c r="K170" s="16" t="s">
        <v>17</v>
      </c>
      <c r="L170" s="19">
        <f t="shared" si="3"/>
        <v>2</v>
      </c>
      <c r="M170" s="21" t="str">
        <f t="shared" si="0"/>
        <v/>
      </c>
      <c r="N170" s="21" t="str">
        <f t="shared" si="1"/>
        <v>X</v>
      </c>
      <c r="O170" s="34" t="str">
        <f t="shared" si="2"/>
        <v>X</v>
      </c>
    </row>
    <row r="171" spans="1:15" ht="14.25" customHeight="1" x14ac:dyDescent="0.55000000000000004">
      <c r="A171" s="16" t="s">
        <v>284</v>
      </c>
      <c r="B171" s="17">
        <v>167</v>
      </c>
      <c r="C171" s="17" t="s">
        <v>20</v>
      </c>
      <c r="D171" s="17" t="s">
        <v>20</v>
      </c>
      <c r="E171" s="17">
        <v>25</v>
      </c>
      <c r="F171" s="18" t="s">
        <v>29</v>
      </c>
      <c r="G171" s="19"/>
      <c r="H171" s="20" t="s">
        <v>62</v>
      </c>
      <c r="I171" s="20"/>
      <c r="J171" s="19" t="s">
        <v>175</v>
      </c>
      <c r="K171" s="16" t="s">
        <v>17</v>
      </c>
      <c r="L171" s="19">
        <f t="shared" si="3"/>
        <v>2</v>
      </c>
      <c r="M171" s="21" t="str">
        <f t="shared" si="0"/>
        <v/>
      </c>
      <c r="N171" s="21" t="str">
        <f t="shared" si="1"/>
        <v>X</v>
      </c>
      <c r="O171" s="34" t="str">
        <f t="shared" si="2"/>
        <v>X</v>
      </c>
    </row>
    <row r="172" spans="1:15" ht="14.25" customHeight="1" x14ac:dyDescent="0.55000000000000004">
      <c r="A172" s="16" t="s">
        <v>285</v>
      </c>
      <c r="B172" s="17">
        <v>168</v>
      </c>
      <c r="C172" s="17" t="s">
        <v>20</v>
      </c>
      <c r="D172" s="17" t="s">
        <v>20</v>
      </c>
      <c r="E172" s="17">
        <v>30</v>
      </c>
      <c r="F172" s="18" t="s">
        <v>29</v>
      </c>
      <c r="G172" s="19"/>
      <c r="H172" s="20" t="s">
        <v>62</v>
      </c>
      <c r="I172" s="20" t="s">
        <v>177</v>
      </c>
      <c r="J172" s="19" t="s">
        <v>178</v>
      </c>
      <c r="K172" s="16" t="s">
        <v>17</v>
      </c>
      <c r="L172" s="19">
        <f t="shared" si="3"/>
        <v>2</v>
      </c>
      <c r="M172" s="21" t="str">
        <f t="shared" si="0"/>
        <v/>
      </c>
      <c r="N172" s="21" t="str">
        <f t="shared" si="1"/>
        <v>X</v>
      </c>
      <c r="O172" s="34" t="str">
        <f t="shared" si="2"/>
        <v>X</v>
      </c>
    </row>
    <row r="173" spans="1:15" ht="14.25" customHeight="1" x14ac:dyDescent="0.55000000000000004">
      <c r="A173" s="16" t="s">
        <v>286</v>
      </c>
      <c r="B173" s="17">
        <v>169</v>
      </c>
      <c r="C173" s="17" t="s">
        <v>20</v>
      </c>
      <c r="D173" s="17" t="s">
        <v>20</v>
      </c>
      <c r="E173" s="17">
        <v>30</v>
      </c>
      <c r="F173" s="18" t="s">
        <v>29</v>
      </c>
      <c r="G173" s="19"/>
      <c r="H173" s="20" t="s">
        <v>62</v>
      </c>
      <c r="I173" s="20"/>
      <c r="J173" s="19" t="s">
        <v>180</v>
      </c>
      <c r="K173" s="16" t="s">
        <v>17</v>
      </c>
      <c r="L173" s="19">
        <f t="shared" si="3"/>
        <v>2</v>
      </c>
      <c r="M173" s="21" t="str">
        <f t="shared" si="0"/>
        <v/>
      </c>
      <c r="N173" s="21" t="str">
        <f t="shared" si="1"/>
        <v>X</v>
      </c>
      <c r="O173" s="34" t="str">
        <f t="shared" si="2"/>
        <v>X</v>
      </c>
    </row>
    <row r="174" spans="1:15" ht="14.25" customHeight="1" x14ac:dyDescent="0.55000000000000004">
      <c r="A174" s="16" t="s">
        <v>287</v>
      </c>
      <c r="B174" s="17">
        <v>170</v>
      </c>
      <c r="C174" s="17" t="s">
        <v>20</v>
      </c>
      <c r="D174" s="17" t="s">
        <v>20</v>
      </c>
      <c r="E174" s="17">
        <v>80</v>
      </c>
      <c r="F174" s="18" t="s">
        <v>29</v>
      </c>
      <c r="G174" s="19"/>
      <c r="H174" s="20" t="s">
        <v>62</v>
      </c>
      <c r="I174" s="20"/>
      <c r="J174" s="19" t="s">
        <v>182</v>
      </c>
      <c r="K174" s="16" t="s">
        <v>17</v>
      </c>
      <c r="L174" s="19">
        <f t="shared" si="3"/>
        <v>2</v>
      </c>
      <c r="M174" s="21" t="str">
        <f t="shared" si="0"/>
        <v/>
      </c>
      <c r="N174" s="21" t="str">
        <f t="shared" si="1"/>
        <v>X</v>
      </c>
      <c r="O174" s="34" t="str">
        <f t="shared" si="2"/>
        <v>X</v>
      </c>
    </row>
    <row r="175" spans="1:15" ht="14.25" customHeight="1" x14ac:dyDescent="0.55000000000000004">
      <c r="A175" s="19" t="s">
        <v>288</v>
      </c>
      <c r="B175" s="17">
        <v>171</v>
      </c>
      <c r="C175" s="17" t="s">
        <v>20</v>
      </c>
      <c r="D175" s="17" t="s">
        <v>21</v>
      </c>
      <c r="E175" s="17">
        <v>150</v>
      </c>
      <c r="F175" s="18" t="s">
        <v>289</v>
      </c>
      <c r="G175" s="41"/>
      <c r="H175" s="42" t="s">
        <v>62</v>
      </c>
      <c r="I175" s="42"/>
      <c r="J175" s="19" t="s">
        <v>290</v>
      </c>
      <c r="K175" s="43" t="s">
        <v>17</v>
      </c>
      <c r="L175" s="41">
        <f t="shared" si="3"/>
        <v>2</v>
      </c>
      <c r="M175" s="44" t="str">
        <f t="shared" si="0"/>
        <v/>
      </c>
      <c r="N175" s="45" t="str">
        <f t="shared" si="1"/>
        <v>X</v>
      </c>
      <c r="O175" s="46" t="str">
        <f t="shared" si="2"/>
        <v>X</v>
      </c>
    </row>
    <row r="176" spans="1:15" ht="14.25" customHeight="1" x14ac:dyDescent="0.55000000000000004">
      <c r="A176" s="19" t="s">
        <v>291</v>
      </c>
      <c r="B176" s="17">
        <v>172</v>
      </c>
      <c r="C176" s="17" t="s">
        <v>20</v>
      </c>
      <c r="D176" s="17" t="s">
        <v>21</v>
      </c>
      <c r="E176" s="17">
        <v>12</v>
      </c>
      <c r="F176" s="18" t="s">
        <v>292</v>
      </c>
      <c r="G176" s="41"/>
      <c r="H176" s="42" t="s">
        <v>62</v>
      </c>
      <c r="I176" s="42"/>
      <c r="J176" s="41" t="s">
        <v>293</v>
      </c>
      <c r="K176" s="43" t="s">
        <v>17</v>
      </c>
      <c r="L176" s="41">
        <f t="shared" si="3"/>
        <v>2</v>
      </c>
      <c r="M176" s="44" t="str">
        <f t="shared" si="0"/>
        <v/>
      </c>
      <c r="N176" s="45" t="str">
        <f t="shared" si="1"/>
        <v>X</v>
      </c>
      <c r="O176" s="46" t="str">
        <f t="shared" si="2"/>
        <v>X</v>
      </c>
    </row>
    <row r="177" spans="1:15" ht="14.25" customHeight="1" x14ac:dyDescent="0.55000000000000004">
      <c r="A177" s="19" t="s">
        <v>294</v>
      </c>
      <c r="B177" s="17">
        <v>173</v>
      </c>
      <c r="C177" s="17" t="s">
        <v>20</v>
      </c>
      <c r="D177" s="17" t="s">
        <v>21</v>
      </c>
      <c r="E177" s="17">
        <v>150</v>
      </c>
      <c r="F177" s="18" t="s">
        <v>295</v>
      </c>
      <c r="G177" s="41"/>
      <c r="H177" s="42" t="s">
        <v>62</v>
      </c>
      <c r="I177" s="42"/>
      <c r="J177" s="19" t="s">
        <v>68</v>
      </c>
      <c r="K177" s="43" t="s">
        <v>17</v>
      </c>
      <c r="L177" s="41">
        <f t="shared" si="3"/>
        <v>2</v>
      </c>
      <c r="M177" s="44" t="str">
        <f t="shared" si="0"/>
        <v/>
      </c>
      <c r="N177" s="45" t="str">
        <f t="shared" si="1"/>
        <v>X</v>
      </c>
      <c r="O177" s="46" t="str">
        <f t="shared" si="2"/>
        <v>X</v>
      </c>
    </row>
    <row r="178" spans="1:15" ht="14.25" customHeight="1" x14ac:dyDescent="0.55000000000000004">
      <c r="A178" s="19" t="s">
        <v>296</v>
      </c>
      <c r="B178" s="17">
        <v>174</v>
      </c>
      <c r="C178" s="17" t="s">
        <v>20</v>
      </c>
      <c r="D178" s="17" t="s">
        <v>21</v>
      </c>
      <c r="E178" s="17">
        <v>150</v>
      </c>
      <c r="F178" s="18" t="s">
        <v>297</v>
      </c>
      <c r="G178" s="41"/>
      <c r="H178" s="42" t="s">
        <v>62</v>
      </c>
      <c r="I178" s="42"/>
      <c r="J178" s="19" t="s">
        <v>70</v>
      </c>
      <c r="K178" s="43" t="s">
        <v>17</v>
      </c>
      <c r="L178" s="41">
        <f t="shared" si="3"/>
        <v>2</v>
      </c>
      <c r="M178" s="44" t="str">
        <f t="shared" si="0"/>
        <v/>
      </c>
      <c r="N178" s="45" t="str">
        <f t="shared" si="1"/>
        <v>X</v>
      </c>
      <c r="O178" s="46" t="str">
        <f t="shared" si="2"/>
        <v>X</v>
      </c>
    </row>
    <row r="179" spans="1:15" ht="14.25" customHeight="1" x14ac:dyDescent="0.55000000000000004">
      <c r="A179" s="19" t="s">
        <v>298</v>
      </c>
      <c r="B179" s="17">
        <v>175</v>
      </c>
      <c r="C179" s="17" t="s">
        <v>20</v>
      </c>
      <c r="D179" s="17" t="s">
        <v>21</v>
      </c>
      <c r="E179" s="17">
        <v>40</v>
      </c>
      <c r="F179" s="18" t="s">
        <v>299</v>
      </c>
      <c r="G179" s="41"/>
      <c r="H179" s="42" t="s">
        <v>62</v>
      </c>
      <c r="I179" s="42"/>
      <c r="J179" s="19" t="s">
        <v>72</v>
      </c>
      <c r="K179" s="43" t="s">
        <v>17</v>
      </c>
      <c r="L179" s="41">
        <f t="shared" si="3"/>
        <v>2</v>
      </c>
      <c r="M179" s="44" t="str">
        <f t="shared" si="0"/>
        <v/>
      </c>
      <c r="N179" s="45" t="str">
        <f t="shared" si="1"/>
        <v>X</v>
      </c>
      <c r="O179" s="46" t="str">
        <f t="shared" si="2"/>
        <v>X</v>
      </c>
    </row>
    <row r="180" spans="1:15" ht="14.25" customHeight="1" x14ac:dyDescent="0.55000000000000004">
      <c r="A180" s="19" t="s">
        <v>300</v>
      </c>
      <c r="B180" s="17">
        <v>176</v>
      </c>
      <c r="C180" s="17" t="s">
        <v>20</v>
      </c>
      <c r="D180" s="17" t="s">
        <v>21</v>
      </c>
      <c r="E180" s="17">
        <v>50</v>
      </c>
      <c r="F180" s="18" t="s">
        <v>301</v>
      </c>
      <c r="G180" s="41"/>
      <c r="H180" s="42" t="s">
        <v>62</v>
      </c>
      <c r="I180" s="42"/>
      <c r="J180" s="35" t="s">
        <v>302</v>
      </c>
      <c r="K180" s="43" t="s">
        <v>17</v>
      </c>
      <c r="L180" s="41">
        <f t="shared" si="3"/>
        <v>2</v>
      </c>
      <c r="M180" s="44" t="str">
        <f t="shared" si="0"/>
        <v/>
      </c>
      <c r="N180" s="45" t="str">
        <f t="shared" si="1"/>
        <v>X</v>
      </c>
      <c r="O180" s="46" t="str">
        <f t="shared" si="2"/>
        <v>X</v>
      </c>
    </row>
    <row r="181" spans="1:15" ht="14.25" customHeight="1" x14ac:dyDescent="0.55000000000000004">
      <c r="A181" s="19" t="s">
        <v>303</v>
      </c>
      <c r="B181" s="17">
        <v>177</v>
      </c>
      <c r="C181" s="17" t="s">
        <v>20</v>
      </c>
      <c r="D181" s="17" t="s">
        <v>21</v>
      </c>
      <c r="E181" s="17">
        <v>3</v>
      </c>
      <c r="F181" s="18" t="s">
        <v>304</v>
      </c>
      <c r="G181" s="41"/>
      <c r="H181" s="42" t="s">
        <v>62</v>
      </c>
      <c r="I181" s="42"/>
      <c r="J181" s="19" t="s">
        <v>83</v>
      </c>
      <c r="K181" s="43" t="s">
        <v>17</v>
      </c>
      <c r="L181" s="41">
        <f t="shared" si="3"/>
        <v>2</v>
      </c>
      <c r="M181" s="44" t="str">
        <f t="shared" si="0"/>
        <v/>
      </c>
      <c r="N181" s="45" t="str">
        <f t="shared" si="1"/>
        <v>X</v>
      </c>
      <c r="O181" s="46" t="str">
        <f t="shared" si="2"/>
        <v>X</v>
      </c>
    </row>
    <row r="182" spans="1:15" ht="14.25" customHeight="1" x14ac:dyDescent="0.55000000000000004">
      <c r="A182" s="19" t="s">
        <v>305</v>
      </c>
      <c r="B182" s="17">
        <v>178</v>
      </c>
      <c r="C182" s="17" t="s">
        <v>20</v>
      </c>
      <c r="D182" s="17" t="s">
        <v>21</v>
      </c>
      <c r="E182" s="17">
        <v>55</v>
      </c>
      <c r="F182" s="18" t="s">
        <v>306</v>
      </c>
      <c r="G182" s="41"/>
      <c r="H182" s="42" t="s">
        <v>62</v>
      </c>
      <c r="I182" s="42"/>
      <c r="J182" s="19" t="s">
        <v>75</v>
      </c>
      <c r="K182" s="43" t="s">
        <v>17</v>
      </c>
      <c r="L182" s="41">
        <f t="shared" si="3"/>
        <v>2</v>
      </c>
      <c r="M182" s="44" t="str">
        <f t="shared" si="0"/>
        <v/>
      </c>
      <c r="N182" s="45" t="str">
        <f t="shared" si="1"/>
        <v>X</v>
      </c>
      <c r="O182" s="46" t="str">
        <f t="shared" si="2"/>
        <v>X</v>
      </c>
    </row>
    <row r="183" spans="1:15" ht="14.25" customHeight="1" x14ac:dyDescent="0.55000000000000004">
      <c r="A183" s="19" t="s">
        <v>307</v>
      </c>
      <c r="B183" s="17">
        <v>179</v>
      </c>
      <c r="C183" s="17" t="s">
        <v>20</v>
      </c>
      <c r="D183" s="17" t="s">
        <v>21</v>
      </c>
      <c r="E183" s="17">
        <v>30</v>
      </c>
      <c r="F183" s="18" t="s">
        <v>308</v>
      </c>
      <c r="G183" s="41"/>
      <c r="H183" s="42" t="s">
        <v>62</v>
      </c>
      <c r="I183" s="42"/>
      <c r="J183" s="35" t="s">
        <v>309</v>
      </c>
      <c r="K183" s="43" t="s">
        <v>17</v>
      </c>
      <c r="L183" s="41">
        <f t="shared" si="3"/>
        <v>2</v>
      </c>
      <c r="M183" s="44" t="str">
        <f t="shared" si="0"/>
        <v/>
      </c>
      <c r="N183" s="45" t="str">
        <f t="shared" si="1"/>
        <v>X</v>
      </c>
      <c r="O183" s="46" t="str">
        <f t="shared" si="2"/>
        <v>X</v>
      </c>
    </row>
    <row r="184" spans="1:15" ht="14.25" customHeight="1" x14ac:dyDescent="0.55000000000000004">
      <c r="A184" s="16" t="s">
        <v>310</v>
      </c>
      <c r="B184" s="17">
        <v>180</v>
      </c>
      <c r="C184" s="17" t="s">
        <v>20</v>
      </c>
      <c r="D184" s="17" t="s">
        <v>20</v>
      </c>
      <c r="E184" s="17">
        <v>150</v>
      </c>
      <c r="F184" s="18" t="s">
        <v>29</v>
      </c>
      <c r="G184" s="19"/>
      <c r="H184" s="20" t="s">
        <v>62</v>
      </c>
      <c r="I184" s="20" t="s">
        <v>311</v>
      </c>
      <c r="J184" s="19" t="s">
        <v>290</v>
      </c>
      <c r="K184" s="16" t="s">
        <v>17</v>
      </c>
      <c r="L184" s="19">
        <f t="shared" si="3"/>
        <v>2</v>
      </c>
      <c r="M184" s="21" t="str">
        <f t="shared" si="0"/>
        <v/>
      </c>
      <c r="N184" s="21" t="str">
        <f t="shared" si="1"/>
        <v>X</v>
      </c>
      <c r="O184" s="34" t="str">
        <f t="shared" si="2"/>
        <v>X</v>
      </c>
    </row>
    <row r="185" spans="1:15" ht="14.25" customHeight="1" x14ac:dyDescent="0.55000000000000004">
      <c r="A185" s="19" t="s">
        <v>312</v>
      </c>
      <c r="B185" s="17">
        <v>181</v>
      </c>
      <c r="C185" s="17" t="s">
        <v>20</v>
      </c>
      <c r="D185" s="17" t="s">
        <v>21</v>
      </c>
      <c r="E185" s="39">
        <v>12</v>
      </c>
      <c r="F185" s="18" t="s">
        <v>313</v>
      </c>
      <c r="G185" s="41"/>
      <c r="H185" s="42" t="s">
        <v>62</v>
      </c>
      <c r="I185" s="20" t="s">
        <v>311</v>
      </c>
      <c r="J185" s="41" t="s">
        <v>293</v>
      </c>
      <c r="K185" s="43" t="s">
        <v>17</v>
      </c>
      <c r="L185" s="41">
        <f t="shared" si="3"/>
        <v>2</v>
      </c>
      <c r="M185" s="44" t="str">
        <f t="shared" si="0"/>
        <v/>
      </c>
      <c r="N185" s="45" t="str">
        <f t="shared" si="1"/>
        <v>X</v>
      </c>
      <c r="O185" s="46" t="str">
        <f t="shared" si="2"/>
        <v>X</v>
      </c>
    </row>
    <row r="186" spans="1:15" ht="14.25" customHeight="1" x14ac:dyDescent="0.55000000000000004">
      <c r="A186" s="50" t="s">
        <v>25</v>
      </c>
      <c r="B186" s="51">
        <v>182</v>
      </c>
      <c r="C186" s="51" t="s">
        <v>20</v>
      </c>
      <c r="D186" s="25" t="s">
        <v>20</v>
      </c>
      <c r="E186" s="51">
        <v>0</v>
      </c>
      <c r="F186" s="26" t="s">
        <v>314</v>
      </c>
      <c r="G186" s="50"/>
      <c r="H186" s="28"/>
      <c r="I186" s="28"/>
      <c r="J186" s="52" t="s">
        <v>315</v>
      </c>
      <c r="K186" s="16" t="s">
        <v>17</v>
      </c>
      <c r="L186" s="19">
        <f t="shared" si="3"/>
        <v>2</v>
      </c>
      <c r="M186" s="21" t="str">
        <f t="shared" si="0"/>
        <v/>
      </c>
      <c r="N186" s="21" t="str">
        <f t="shared" si="1"/>
        <v>X</v>
      </c>
      <c r="O186" s="34" t="str">
        <f t="shared" si="2"/>
        <v>X</v>
      </c>
    </row>
    <row r="187" spans="1:15" ht="14.25" customHeight="1" x14ac:dyDescent="0.55000000000000004">
      <c r="A187" s="16" t="s">
        <v>316</v>
      </c>
      <c r="B187" s="17">
        <v>183</v>
      </c>
      <c r="C187" s="17" t="s">
        <v>20</v>
      </c>
      <c r="D187" s="17" t="s">
        <v>20</v>
      </c>
      <c r="E187" s="17">
        <v>150</v>
      </c>
      <c r="F187" s="18" t="s">
        <v>29</v>
      </c>
      <c r="G187" s="19"/>
      <c r="H187" s="20" t="s">
        <v>62</v>
      </c>
      <c r="I187" s="20" t="s">
        <v>311</v>
      </c>
      <c r="J187" s="19" t="s">
        <v>68</v>
      </c>
      <c r="K187" s="16" t="s">
        <v>17</v>
      </c>
      <c r="L187" s="19">
        <f t="shared" si="3"/>
        <v>2</v>
      </c>
      <c r="M187" s="21" t="str">
        <f t="shared" si="0"/>
        <v/>
      </c>
      <c r="N187" s="21" t="str">
        <f t="shared" si="1"/>
        <v>X</v>
      </c>
      <c r="O187" s="34" t="str">
        <f t="shared" si="2"/>
        <v>X</v>
      </c>
    </row>
    <row r="188" spans="1:15" ht="14.25" customHeight="1" x14ac:dyDescent="0.55000000000000004">
      <c r="A188" s="16" t="s">
        <v>317</v>
      </c>
      <c r="B188" s="17">
        <v>184</v>
      </c>
      <c r="C188" s="17" t="s">
        <v>20</v>
      </c>
      <c r="D188" s="17" t="s">
        <v>20</v>
      </c>
      <c r="E188" s="17">
        <v>150</v>
      </c>
      <c r="F188" s="18" t="s">
        <v>29</v>
      </c>
      <c r="G188" s="19"/>
      <c r="H188" s="20" t="s">
        <v>62</v>
      </c>
      <c r="I188" s="20" t="s">
        <v>311</v>
      </c>
      <c r="J188" s="19" t="s">
        <v>70</v>
      </c>
      <c r="K188" s="16" t="s">
        <v>17</v>
      </c>
      <c r="L188" s="19">
        <f t="shared" si="3"/>
        <v>2</v>
      </c>
      <c r="M188" s="21" t="str">
        <f t="shared" si="0"/>
        <v/>
      </c>
      <c r="N188" s="21" t="str">
        <f t="shared" si="1"/>
        <v>X</v>
      </c>
      <c r="O188" s="34" t="str">
        <f t="shared" si="2"/>
        <v>X</v>
      </c>
    </row>
    <row r="189" spans="1:15" ht="14.25" customHeight="1" x14ac:dyDescent="0.55000000000000004">
      <c r="A189" s="16" t="s">
        <v>318</v>
      </c>
      <c r="B189" s="17">
        <v>185</v>
      </c>
      <c r="C189" s="17" t="s">
        <v>20</v>
      </c>
      <c r="D189" s="17" t="s">
        <v>20</v>
      </c>
      <c r="E189" s="17">
        <v>40</v>
      </c>
      <c r="F189" s="18" t="s">
        <v>29</v>
      </c>
      <c r="G189" s="19"/>
      <c r="H189" s="20" t="s">
        <v>62</v>
      </c>
      <c r="I189" s="20" t="s">
        <v>311</v>
      </c>
      <c r="J189" s="19" t="s">
        <v>72</v>
      </c>
      <c r="K189" s="16" t="s">
        <v>17</v>
      </c>
      <c r="L189" s="19">
        <f t="shared" si="3"/>
        <v>2</v>
      </c>
      <c r="M189" s="21" t="str">
        <f t="shared" si="0"/>
        <v/>
      </c>
      <c r="N189" s="21" t="str">
        <f t="shared" si="1"/>
        <v>X</v>
      </c>
      <c r="O189" s="34" t="str">
        <f t="shared" si="2"/>
        <v>X</v>
      </c>
    </row>
    <row r="190" spans="1:15" ht="14.25" customHeight="1" x14ac:dyDescent="0.55000000000000004">
      <c r="A190" s="16" t="s">
        <v>319</v>
      </c>
      <c r="B190" s="17">
        <v>186</v>
      </c>
      <c r="C190" s="17" t="s">
        <v>20</v>
      </c>
      <c r="D190" s="17" t="s">
        <v>79</v>
      </c>
      <c r="E190" s="17">
        <v>50</v>
      </c>
      <c r="F190" s="18" t="s">
        <v>29</v>
      </c>
      <c r="G190" s="19"/>
      <c r="H190" s="20" t="s">
        <v>62</v>
      </c>
      <c r="I190" s="20" t="s">
        <v>311</v>
      </c>
      <c r="J190" s="35" t="s">
        <v>302</v>
      </c>
      <c r="K190" s="16" t="s">
        <v>17</v>
      </c>
      <c r="L190" s="19">
        <f t="shared" si="3"/>
        <v>2</v>
      </c>
      <c r="M190" s="21" t="str">
        <f t="shared" si="0"/>
        <v/>
      </c>
      <c r="N190" s="21" t="str">
        <f t="shared" si="1"/>
        <v>X</v>
      </c>
      <c r="O190" s="34" t="str">
        <f t="shared" si="2"/>
        <v>X</v>
      </c>
    </row>
    <row r="191" spans="1:15" ht="14.25" customHeight="1" x14ac:dyDescent="0.55000000000000004">
      <c r="A191" s="16" t="s">
        <v>320</v>
      </c>
      <c r="B191" s="17">
        <v>187</v>
      </c>
      <c r="C191" s="17" t="s">
        <v>20</v>
      </c>
      <c r="D191" s="17" t="s">
        <v>20</v>
      </c>
      <c r="E191" s="17">
        <v>3</v>
      </c>
      <c r="F191" s="18" t="s">
        <v>29</v>
      </c>
      <c r="G191" s="19"/>
      <c r="H191" s="20" t="s">
        <v>62</v>
      </c>
      <c r="I191" s="20" t="s">
        <v>311</v>
      </c>
      <c r="J191" s="19" t="s">
        <v>83</v>
      </c>
      <c r="K191" s="16" t="s">
        <v>17</v>
      </c>
      <c r="L191" s="19">
        <f t="shared" si="3"/>
        <v>2</v>
      </c>
      <c r="M191" s="21" t="str">
        <f t="shared" si="0"/>
        <v/>
      </c>
      <c r="N191" s="21" t="str">
        <f t="shared" si="1"/>
        <v>X</v>
      </c>
      <c r="O191" s="34" t="str">
        <f t="shared" si="2"/>
        <v>X</v>
      </c>
    </row>
    <row r="192" spans="1:15" ht="14.25" customHeight="1" x14ac:dyDescent="0.55000000000000004">
      <c r="A192" s="16" t="s">
        <v>321</v>
      </c>
      <c r="B192" s="17">
        <v>188</v>
      </c>
      <c r="C192" s="17" t="s">
        <v>20</v>
      </c>
      <c r="D192" s="17" t="s">
        <v>20</v>
      </c>
      <c r="E192" s="17">
        <v>55</v>
      </c>
      <c r="F192" s="18" t="s">
        <v>29</v>
      </c>
      <c r="G192" s="19"/>
      <c r="H192" s="20" t="s">
        <v>62</v>
      </c>
      <c r="I192" s="20" t="s">
        <v>311</v>
      </c>
      <c r="J192" s="19" t="s">
        <v>75</v>
      </c>
      <c r="K192" s="16" t="s">
        <v>17</v>
      </c>
      <c r="L192" s="19">
        <f t="shared" si="3"/>
        <v>2</v>
      </c>
      <c r="M192" s="21" t="str">
        <f t="shared" si="0"/>
        <v/>
      </c>
      <c r="N192" s="21" t="str">
        <f t="shared" si="1"/>
        <v>X</v>
      </c>
      <c r="O192" s="34" t="str">
        <f t="shared" si="2"/>
        <v>X</v>
      </c>
    </row>
    <row r="193" spans="1:15" ht="14.25" customHeight="1" x14ac:dyDescent="0.55000000000000004">
      <c r="A193" s="16" t="s">
        <v>322</v>
      </c>
      <c r="B193" s="17">
        <v>189</v>
      </c>
      <c r="C193" s="17" t="s">
        <v>20</v>
      </c>
      <c r="D193" s="17" t="s">
        <v>20</v>
      </c>
      <c r="E193" s="17">
        <v>30</v>
      </c>
      <c r="F193" s="18" t="s">
        <v>29</v>
      </c>
      <c r="G193" s="19"/>
      <c r="H193" s="20" t="s">
        <v>62</v>
      </c>
      <c r="I193" s="20" t="s">
        <v>311</v>
      </c>
      <c r="J193" s="35" t="s">
        <v>309</v>
      </c>
      <c r="K193" s="16" t="s">
        <v>17</v>
      </c>
      <c r="L193" s="19">
        <f t="shared" si="3"/>
        <v>2</v>
      </c>
      <c r="M193" s="21" t="str">
        <f t="shared" si="0"/>
        <v/>
      </c>
      <c r="N193" s="21" t="str">
        <f t="shared" si="1"/>
        <v>X</v>
      </c>
      <c r="O193" s="34" t="str">
        <f t="shared" si="2"/>
        <v>X</v>
      </c>
    </row>
    <row r="194" spans="1:15" ht="14.25" customHeight="1" x14ac:dyDescent="0.55000000000000004">
      <c r="A194" s="16" t="s">
        <v>323</v>
      </c>
      <c r="B194" s="17">
        <v>190</v>
      </c>
      <c r="C194" s="17" t="s">
        <v>20</v>
      </c>
      <c r="D194" s="17" t="s">
        <v>20</v>
      </c>
      <c r="E194" s="17">
        <v>150</v>
      </c>
      <c r="F194" s="18" t="s">
        <v>29</v>
      </c>
      <c r="G194" s="19"/>
      <c r="H194" s="20" t="s">
        <v>62</v>
      </c>
      <c r="I194" s="20" t="s">
        <v>324</v>
      </c>
      <c r="J194" s="19" t="s">
        <v>290</v>
      </c>
      <c r="K194" s="16" t="s">
        <v>17</v>
      </c>
      <c r="L194" s="19">
        <f t="shared" si="3"/>
        <v>2</v>
      </c>
      <c r="M194" s="21" t="str">
        <f t="shared" si="0"/>
        <v/>
      </c>
      <c r="N194" s="21" t="str">
        <f t="shared" si="1"/>
        <v>X</v>
      </c>
      <c r="O194" s="34" t="str">
        <f t="shared" si="2"/>
        <v>X</v>
      </c>
    </row>
    <row r="195" spans="1:15" ht="14.25" customHeight="1" x14ac:dyDescent="0.55000000000000004">
      <c r="A195" s="19" t="s">
        <v>325</v>
      </c>
      <c r="B195" s="17">
        <v>191</v>
      </c>
      <c r="C195" s="17" t="s">
        <v>20</v>
      </c>
      <c r="D195" s="17" t="s">
        <v>21</v>
      </c>
      <c r="E195" s="39">
        <v>12</v>
      </c>
      <c r="F195" s="18" t="s">
        <v>326</v>
      </c>
      <c r="G195" s="41"/>
      <c r="H195" s="42" t="s">
        <v>62</v>
      </c>
      <c r="I195" s="20" t="s">
        <v>324</v>
      </c>
      <c r="J195" s="41" t="s">
        <v>293</v>
      </c>
      <c r="K195" s="43" t="s">
        <v>17</v>
      </c>
      <c r="L195" s="41">
        <f t="shared" si="3"/>
        <v>2</v>
      </c>
      <c r="M195" s="44" t="str">
        <f t="shared" si="0"/>
        <v/>
      </c>
      <c r="N195" s="45" t="str">
        <f t="shared" si="1"/>
        <v>X</v>
      </c>
      <c r="O195" s="46" t="str">
        <f t="shared" si="2"/>
        <v>X</v>
      </c>
    </row>
    <row r="196" spans="1:15" ht="14.25" customHeight="1" x14ac:dyDescent="0.55000000000000004">
      <c r="A196" s="53" t="s">
        <v>25</v>
      </c>
      <c r="B196" s="51">
        <v>192</v>
      </c>
      <c r="C196" s="51" t="s">
        <v>20</v>
      </c>
      <c r="D196" s="25" t="s">
        <v>20</v>
      </c>
      <c r="E196" s="51">
        <v>0</v>
      </c>
      <c r="F196" s="26" t="s">
        <v>327</v>
      </c>
      <c r="G196" s="50"/>
      <c r="H196" s="28"/>
      <c r="I196" s="28"/>
      <c r="J196" s="52" t="s">
        <v>315</v>
      </c>
      <c r="K196" s="16" t="s">
        <v>17</v>
      </c>
      <c r="L196" s="19">
        <f t="shared" si="3"/>
        <v>2</v>
      </c>
      <c r="M196" s="21" t="str">
        <f t="shared" si="0"/>
        <v/>
      </c>
      <c r="N196" s="21" t="str">
        <f t="shared" si="1"/>
        <v>X</v>
      </c>
      <c r="O196" s="34" t="str">
        <f t="shared" si="2"/>
        <v>X</v>
      </c>
    </row>
    <row r="197" spans="1:15" ht="14.25" customHeight="1" x14ac:dyDescent="0.55000000000000004">
      <c r="A197" s="16" t="s">
        <v>328</v>
      </c>
      <c r="B197" s="17">
        <v>193</v>
      </c>
      <c r="C197" s="17" t="s">
        <v>20</v>
      </c>
      <c r="D197" s="17" t="s">
        <v>20</v>
      </c>
      <c r="E197" s="17">
        <v>150</v>
      </c>
      <c r="F197" s="18" t="s">
        <v>29</v>
      </c>
      <c r="G197" s="19"/>
      <c r="H197" s="20" t="s">
        <v>62</v>
      </c>
      <c r="I197" s="20" t="s">
        <v>324</v>
      </c>
      <c r="J197" s="19" t="s">
        <v>68</v>
      </c>
      <c r="K197" s="16" t="s">
        <v>17</v>
      </c>
      <c r="L197" s="19">
        <f t="shared" si="3"/>
        <v>2</v>
      </c>
      <c r="M197" s="21" t="str">
        <f t="shared" si="0"/>
        <v/>
      </c>
      <c r="N197" s="21" t="str">
        <f t="shared" si="1"/>
        <v>X</v>
      </c>
      <c r="O197" s="34" t="str">
        <f t="shared" si="2"/>
        <v>X</v>
      </c>
    </row>
    <row r="198" spans="1:15" ht="14.25" customHeight="1" x14ac:dyDescent="0.55000000000000004">
      <c r="A198" s="16" t="s">
        <v>329</v>
      </c>
      <c r="B198" s="17">
        <v>194</v>
      </c>
      <c r="C198" s="17" t="s">
        <v>20</v>
      </c>
      <c r="D198" s="17" t="s">
        <v>20</v>
      </c>
      <c r="E198" s="17">
        <v>150</v>
      </c>
      <c r="F198" s="18" t="s">
        <v>29</v>
      </c>
      <c r="G198" s="19"/>
      <c r="H198" s="20" t="s">
        <v>62</v>
      </c>
      <c r="I198" s="20" t="s">
        <v>324</v>
      </c>
      <c r="J198" s="19" t="s">
        <v>70</v>
      </c>
      <c r="K198" s="16" t="s">
        <v>17</v>
      </c>
      <c r="L198" s="19">
        <f t="shared" si="3"/>
        <v>2</v>
      </c>
      <c r="M198" s="21" t="str">
        <f t="shared" si="0"/>
        <v/>
      </c>
      <c r="N198" s="21" t="str">
        <f t="shared" si="1"/>
        <v>X</v>
      </c>
      <c r="O198" s="34" t="str">
        <f t="shared" si="2"/>
        <v>X</v>
      </c>
    </row>
    <row r="199" spans="1:15" ht="14.25" customHeight="1" x14ac:dyDescent="0.55000000000000004">
      <c r="A199" s="16" t="s">
        <v>330</v>
      </c>
      <c r="B199" s="17">
        <v>195</v>
      </c>
      <c r="C199" s="17" t="s">
        <v>20</v>
      </c>
      <c r="D199" s="17" t="s">
        <v>20</v>
      </c>
      <c r="E199" s="17">
        <v>40</v>
      </c>
      <c r="F199" s="18" t="s">
        <v>29</v>
      </c>
      <c r="G199" s="19"/>
      <c r="H199" s="20" t="s">
        <v>62</v>
      </c>
      <c r="I199" s="20" t="s">
        <v>324</v>
      </c>
      <c r="J199" s="19" t="s">
        <v>72</v>
      </c>
      <c r="K199" s="16" t="s">
        <v>17</v>
      </c>
      <c r="L199" s="19">
        <f t="shared" si="3"/>
        <v>2</v>
      </c>
      <c r="M199" s="21" t="str">
        <f t="shared" si="0"/>
        <v/>
      </c>
      <c r="N199" s="21" t="str">
        <f t="shared" si="1"/>
        <v>X</v>
      </c>
      <c r="O199" s="34" t="str">
        <f t="shared" si="2"/>
        <v>X</v>
      </c>
    </row>
    <row r="200" spans="1:15" ht="14.25" customHeight="1" x14ac:dyDescent="0.55000000000000004">
      <c r="A200" s="16" t="s">
        <v>331</v>
      </c>
      <c r="B200" s="17">
        <v>196</v>
      </c>
      <c r="C200" s="17" t="s">
        <v>20</v>
      </c>
      <c r="D200" s="17" t="s">
        <v>79</v>
      </c>
      <c r="E200" s="17">
        <v>50</v>
      </c>
      <c r="F200" s="18" t="s">
        <v>29</v>
      </c>
      <c r="G200" s="19"/>
      <c r="H200" s="20" t="s">
        <v>62</v>
      </c>
      <c r="I200" s="20" t="s">
        <v>324</v>
      </c>
      <c r="J200" s="35" t="s">
        <v>302</v>
      </c>
      <c r="K200" s="16" t="s">
        <v>17</v>
      </c>
      <c r="L200" s="19">
        <f t="shared" si="3"/>
        <v>2</v>
      </c>
      <c r="M200" s="21" t="str">
        <f t="shared" si="0"/>
        <v/>
      </c>
      <c r="N200" s="21" t="str">
        <f t="shared" si="1"/>
        <v>X</v>
      </c>
      <c r="O200" s="34" t="str">
        <f t="shared" si="2"/>
        <v>X</v>
      </c>
    </row>
    <row r="201" spans="1:15" ht="14.25" customHeight="1" x14ac:dyDescent="0.55000000000000004">
      <c r="A201" s="16" t="s">
        <v>332</v>
      </c>
      <c r="B201" s="17">
        <v>197</v>
      </c>
      <c r="C201" s="17" t="s">
        <v>20</v>
      </c>
      <c r="D201" s="17" t="s">
        <v>20</v>
      </c>
      <c r="E201" s="17">
        <v>3</v>
      </c>
      <c r="F201" s="18" t="s">
        <v>29</v>
      </c>
      <c r="G201" s="19"/>
      <c r="H201" s="20" t="s">
        <v>62</v>
      </c>
      <c r="I201" s="20" t="s">
        <v>324</v>
      </c>
      <c r="J201" s="19" t="s">
        <v>83</v>
      </c>
      <c r="K201" s="16" t="s">
        <v>17</v>
      </c>
      <c r="L201" s="19">
        <f t="shared" si="3"/>
        <v>2</v>
      </c>
      <c r="M201" s="21" t="str">
        <f t="shared" si="0"/>
        <v/>
      </c>
      <c r="N201" s="21" t="str">
        <f t="shared" si="1"/>
        <v>X</v>
      </c>
      <c r="O201" s="34" t="str">
        <f t="shared" si="2"/>
        <v>X</v>
      </c>
    </row>
    <row r="202" spans="1:15" ht="14.25" customHeight="1" x14ac:dyDescent="0.55000000000000004">
      <c r="A202" s="16" t="s">
        <v>333</v>
      </c>
      <c r="B202" s="17">
        <v>198</v>
      </c>
      <c r="C202" s="17" t="s">
        <v>20</v>
      </c>
      <c r="D202" s="17" t="s">
        <v>20</v>
      </c>
      <c r="E202" s="17">
        <v>55</v>
      </c>
      <c r="F202" s="18" t="s">
        <v>29</v>
      </c>
      <c r="G202" s="19"/>
      <c r="H202" s="20" t="s">
        <v>62</v>
      </c>
      <c r="I202" s="20" t="s">
        <v>324</v>
      </c>
      <c r="J202" s="19" t="s">
        <v>75</v>
      </c>
      <c r="K202" s="16" t="s">
        <v>17</v>
      </c>
      <c r="L202" s="19">
        <f t="shared" si="3"/>
        <v>2</v>
      </c>
      <c r="M202" s="21" t="str">
        <f t="shared" si="0"/>
        <v/>
      </c>
      <c r="N202" s="21" t="str">
        <f t="shared" si="1"/>
        <v>X</v>
      </c>
      <c r="O202" s="34" t="str">
        <f t="shared" si="2"/>
        <v>X</v>
      </c>
    </row>
    <row r="203" spans="1:15" ht="14.25" customHeight="1" x14ac:dyDescent="0.55000000000000004">
      <c r="A203" s="16" t="s">
        <v>334</v>
      </c>
      <c r="B203" s="17">
        <v>199</v>
      </c>
      <c r="C203" s="17" t="s">
        <v>20</v>
      </c>
      <c r="D203" s="17" t="s">
        <v>20</v>
      </c>
      <c r="E203" s="17">
        <v>30</v>
      </c>
      <c r="F203" s="18" t="s">
        <v>29</v>
      </c>
      <c r="G203" s="19"/>
      <c r="H203" s="20" t="s">
        <v>62</v>
      </c>
      <c r="I203" s="20" t="s">
        <v>324</v>
      </c>
      <c r="J203" s="35" t="s">
        <v>309</v>
      </c>
      <c r="K203" s="16" t="s">
        <v>17</v>
      </c>
      <c r="L203" s="19">
        <f t="shared" si="3"/>
        <v>2</v>
      </c>
      <c r="M203" s="21" t="str">
        <f t="shared" si="0"/>
        <v/>
      </c>
      <c r="N203" s="21" t="str">
        <f t="shared" si="1"/>
        <v>X</v>
      </c>
      <c r="O203" s="34" t="str">
        <f t="shared" si="2"/>
        <v>X</v>
      </c>
    </row>
    <row r="204" spans="1:15" ht="14.25" customHeight="1" x14ac:dyDescent="0.55000000000000004">
      <c r="A204" s="16" t="s">
        <v>335</v>
      </c>
      <c r="B204" s="17">
        <v>200</v>
      </c>
      <c r="C204" s="17" t="s">
        <v>20</v>
      </c>
      <c r="D204" s="17" t="s">
        <v>20</v>
      </c>
      <c r="E204" s="17">
        <v>150</v>
      </c>
      <c r="F204" s="18" t="s">
        <v>29</v>
      </c>
      <c r="G204" s="19"/>
      <c r="H204" s="20" t="s">
        <v>62</v>
      </c>
      <c r="I204" s="20" t="s">
        <v>336</v>
      </c>
      <c r="J204" s="19" t="s">
        <v>290</v>
      </c>
      <c r="K204" s="16" t="s">
        <v>17</v>
      </c>
      <c r="L204" s="19">
        <f t="shared" si="3"/>
        <v>2</v>
      </c>
      <c r="M204" s="21" t="str">
        <f t="shared" si="0"/>
        <v/>
      </c>
      <c r="N204" s="21" t="str">
        <f t="shared" si="1"/>
        <v>X</v>
      </c>
      <c r="O204" s="34" t="str">
        <f t="shared" si="2"/>
        <v>X</v>
      </c>
    </row>
    <row r="205" spans="1:15" ht="14.25" customHeight="1" x14ac:dyDescent="0.55000000000000004">
      <c r="A205" s="19" t="s">
        <v>337</v>
      </c>
      <c r="B205" s="17">
        <v>201</v>
      </c>
      <c r="C205" s="17" t="s">
        <v>20</v>
      </c>
      <c r="D205" s="17" t="s">
        <v>21</v>
      </c>
      <c r="E205" s="39">
        <v>12</v>
      </c>
      <c r="F205" s="18" t="s">
        <v>338</v>
      </c>
      <c r="G205" s="41"/>
      <c r="H205" s="42" t="s">
        <v>62</v>
      </c>
      <c r="I205" s="20" t="s">
        <v>336</v>
      </c>
      <c r="J205" s="41" t="s">
        <v>293</v>
      </c>
      <c r="K205" s="43" t="s">
        <v>17</v>
      </c>
      <c r="L205" s="41">
        <f t="shared" si="3"/>
        <v>2</v>
      </c>
      <c r="M205" s="44" t="str">
        <f t="shared" si="0"/>
        <v/>
      </c>
      <c r="N205" s="45" t="str">
        <f t="shared" si="1"/>
        <v>X</v>
      </c>
      <c r="O205" s="46" t="str">
        <f t="shared" si="2"/>
        <v>X</v>
      </c>
    </row>
    <row r="206" spans="1:15" ht="14.25" customHeight="1" x14ac:dyDescent="0.55000000000000004">
      <c r="A206" s="53" t="s">
        <v>25</v>
      </c>
      <c r="B206" s="51">
        <v>202</v>
      </c>
      <c r="C206" s="51" t="s">
        <v>20</v>
      </c>
      <c r="D206" s="25" t="s">
        <v>20</v>
      </c>
      <c r="E206" s="51">
        <v>0</v>
      </c>
      <c r="F206" s="26" t="s">
        <v>327</v>
      </c>
      <c r="G206" s="50"/>
      <c r="H206" s="28"/>
      <c r="I206" s="28"/>
      <c r="J206" s="52" t="s">
        <v>315</v>
      </c>
      <c r="K206" s="16" t="s">
        <v>17</v>
      </c>
      <c r="L206" s="19">
        <f t="shared" si="3"/>
        <v>2</v>
      </c>
      <c r="M206" s="21" t="str">
        <f t="shared" si="0"/>
        <v/>
      </c>
      <c r="N206" s="21" t="str">
        <f t="shared" si="1"/>
        <v>X</v>
      </c>
      <c r="O206" s="34" t="str">
        <f t="shared" si="2"/>
        <v>X</v>
      </c>
    </row>
    <row r="207" spans="1:15" ht="14.25" customHeight="1" x14ac:dyDescent="0.55000000000000004">
      <c r="A207" s="16" t="s">
        <v>339</v>
      </c>
      <c r="B207" s="17">
        <v>203</v>
      </c>
      <c r="C207" s="17" t="s">
        <v>20</v>
      </c>
      <c r="D207" s="17" t="s">
        <v>20</v>
      </c>
      <c r="E207" s="17">
        <v>150</v>
      </c>
      <c r="F207" s="18" t="s">
        <v>29</v>
      </c>
      <c r="G207" s="19"/>
      <c r="H207" s="20" t="s">
        <v>62</v>
      </c>
      <c r="I207" s="20" t="s">
        <v>336</v>
      </c>
      <c r="J207" s="19" t="s">
        <v>68</v>
      </c>
      <c r="K207" s="16" t="s">
        <v>17</v>
      </c>
      <c r="L207" s="19">
        <f t="shared" si="3"/>
        <v>2</v>
      </c>
      <c r="M207" s="21" t="str">
        <f t="shared" si="0"/>
        <v/>
      </c>
      <c r="N207" s="21" t="str">
        <f t="shared" si="1"/>
        <v>X</v>
      </c>
      <c r="O207" s="34" t="str">
        <f t="shared" si="2"/>
        <v>X</v>
      </c>
    </row>
    <row r="208" spans="1:15" ht="14.25" customHeight="1" x14ac:dyDescent="0.55000000000000004">
      <c r="A208" s="16" t="s">
        <v>340</v>
      </c>
      <c r="B208" s="17">
        <v>204</v>
      </c>
      <c r="C208" s="17" t="s">
        <v>20</v>
      </c>
      <c r="D208" s="17" t="s">
        <v>20</v>
      </c>
      <c r="E208" s="17">
        <v>150</v>
      </c>
      <c r="F208" s="18" t="s">
        <v>29</v>
      </c>
      <c r="G208" s="19"/>
      <c r="H208" s="20" t="s">
        <v>62</v>
      </c>
      <c r="I208" s="20" t="s">
        <v>336</v>
      </c>
      <c r="J208" s="19" t="s">
        <v>70</v>
      </c>
      <c r="K208" s="16" t="s">
        <v>17</v>
      </c>
      <c r="L208" s="19">
        <f t="shared" si="3"/>
        <v>2</v>
      </c>
      <c r="M208" s="21" t="str">
        <f t="shared" si="0"/>
        <v/>
      </c>
      <c r="N208" s="21" t="str">
        <f t="shared" si="1"/>
        <v>X</v>
      </c>
      <c r="O208" s="34" t="str">
        <f t="shared" si="2"/>
        <v>X</v>
      </c>
    </row>
    <row r="209" spans="1:15" ht="14.25" customHeight="1" x14ac:dyDescent="0.55000000000000004">
      <c r="A209" s="16" t="s">
        <v>341</v>
      </c>
      <c r="B209" s="17">
        <v>205</v>
      </c>
      <c r="C209" s="17" t="s">
        <v>20</v>
      </c>
      <c r="D209" s="17" t="s">
        <v>20</v>
      </c>
      <c r="E209" s="17">
        <v>40</v>
      </c>
      <c r="F209" s="18" t="s">
        <v>29</v>
      </c>
      <c r="G209" s="19"/>
      <c r="H209" s="20" t="s">
        <v>62</v>
      </c>
      <c r="I209" s="20" t="s">
        <v>336</v>
      </c>
      <c r="J209" s="19" t="s">
        <v>72</v>
      </c>
      <c r="K209" s="16" t="s">
        <v>17</v>
      </c>
      <c r="L209" s="19">
        <f t="shared" si="3"/>
        <v>2</v>
      </c>
      <c r="M209" s="21" t="str">
        <f t="shared" si="0"/>
        <v/>
      </c>
      <c r="N209" s="21" t="str">
        <f t="shared" si="1"/>
        <v>X</v>
      </c>
      <c r="O209" s="34" t="str">
        <f t="shared" si="2"/>
        <v>X</v>
      </c>
    </row>
    <row r="210" spans="1:15" ht="14.25" customHeight="1" x14ac:dyDescent="0.55000000000000004">
      <c r="A210" s="16" t="s">
        <v>342</v>
      </c>
      <c r="B210" s="17">
        <v>206</v>
      </c>
      <c r="C210" s="17" t="s">
        <v>20</v>
      </c>
      <c r="D210" s="17" t="s">
        <v>79</v>
      </c>
      <c r="E210" s="17">
        <v>50</v>
      </c>
      <c r="F210" s="18" t="s">
        <v>29</v>
      </c>
      <c r="G210" s="19"/>
      <c r="H210" s="20" t="s">
        <v>62</v>
      </c>
      <c r="I210" s="20" t="s">
        <v>336</v>
      </c>
      <c r="J210" s="35" t="s">
        <v>302</v>
      </c>
      <c r="K210" s="16" t="s">
        <v>17</v>
      </c>
      <c r="L210" s="19">
        <f t="shared" si="3"/>
        <v>2</v>
      </c>
      <c r="M210" s="21" t="str">
        <f t="shared" si="0"/>
        <v/>
      </c>
      <c r="N210" s="21" t="str">
        <f t="shared" si="1"/>
        <v>X</v>
      </c>
      <c r="O210" s="34" t="str">
        <f t="shared" si="2"/>
        <v>X</v>
      </c>
    </row>
    <row r="211" spans="1:15" ht="14.25" customHeight="1" x14ac:dyDescent="0.55000000000000004">
      <c r="A211" s="16" t="s">
        <v>343</v>
      </c>
      <c r="B211" s="17">
        <v>207</v>
      </c>
      <c r="C211" s="17" t="s">
        <v>20</v>
      </c>
      <c r="D211" s="17" t="s">
        <v>20</v>
      </c>
      <c r="E211" s="17">
        <v>3</v>
      </c>
      <c r="F211" s="18" t="s">
        <v>29</v>
      </c>
      <c r="G211" s="19"/>
      <c r="H211" s="20" t="s">
        <v>62</v>
      </c>
      <c r="I211" s="20" t="s">
        <v>336</v>
      </c>
      <c r="J211" s="19" t="s">
        <v>83</v>
      </c>
      <c r="K211" s="16" t="s">
        <v>17</v>
      </c>
      <c r="L211" s="19">
        <f t="shared" si="3"/>
        <v>2</v>
      </c>
      <c r="M211" s="21" t="str">
        <f t="shared" si="0"/>
        <v/>
      </c>
      <c r="N211" s="21" t="str">
        <f t="shared" si="1"/>
        <v>X</v>
      </c>
      <c r="O211" s="34" t="str">
        <f t="shared" si="2"/>
        <v>X</v>
      </c>
    </row>
    <row r="212" spans="1:15" ht="14.25" customHeight="1" x14ac:dyDescent="0.55000000000000004">
      <c r="A212" s="16" t="s">
        <v>344</v>
      </c>
      <c r="B212" s="17">
        <v>208</v>
      </c>
      <c r="C212" s="17" t="s">
        <v>20</v>
      </c>
      <c r="D212" s="17" t="s">
        <v>20</v>
      </c>
      <c r="E212" s="17">
        <v>55</v>
      </c>
      <c r="F212" s="18" t="s">
        <v>29</v>
      </c>
      <c r="G212" s="19"/>
      <c r="H212" s="20" t="s">
        <v>62</v>
      </c>
      <c r="I212" s="20" t="s">
        <v>336</v>
      </c>
      <c r="J212" s="19" t="s">
        <v>75</v>
      </c>
      <c r="K212" s="16" t="s">
        <v>17</v>
      </c>
      <c r="L212" s="19">
        <f t="shared" si="3"/>
        <v>2</v>
      </c>
      <c r="M212" s="21" t="str">
        <f t="shared" si="0"/>
        <v/>
      </c>
      <c r="N212" s="21" t="str">
        <f t="shared" si="1"/>
        <v>X</v>
      </c>
      <c r="O212" s="34" t="str">
        <f t="shared" si="2"/>
        <v>X</v>
      </c>
    </row>
    <row r="213" spans="1:15" ht="14.25" customHeight="1" x14ac:dyDescent="0.55000000000000004">
      <c r="A213" s="16" t="s">
        <v>345</v>
      </c>
      <c r="B213" s="17">
        <v>209</v>
      </c>
      <c r="C213" s="17" t="s">
        <v>20</v>
      </c>
      <c r="D213" s="17" t="s">
        <v>20</v>
      </c>
      <c r="E213" s="17">
        <v>30</v>
      </c>
      <c r="F213" s="18" t="s">
        <v>29</v>
      </c>
      <c r="G213" s="19"/>
      <c r="H213" s="20" t="s">
        <v>62</v>
      </c>
      <c r="I213" s="20" t="s">
        <v>336</v>
      </c>
      <c r="J213" s="35" t="s">
        <v>309</v>
      </c>
      <c r="K213" s="16" t="s">
        <v>17</v>
      </c>
      <c r="L213" s="19">
        <f t="shared" si="3"/>
        <v>2</v>
      </c>
      <c r="M213" s="21" t="str">
        <f t="shared" si="0"/>
        <v/>
      </c>
      <c r="N213" s="21" t="str">
        <f t="shared" si="1"/>
        <v>X</v>
      </c>
      <c r="O213" s="34" t="str">
        <f t="shared" si="2"/>
        <v>X</v>
      </c>
    </row>
    <row r="214" spans="1:15" ht="14.25" customHeight="1" x14ac:dyDescent="0.55000000000000004">
      <c r="A214" s="43" t="s">
        <v>346</v>
      </c>
      <c r="B214" s="17">
        <v>210</v>
      </c>
      <c r="C214" s="17" t="s">
        <v>20</v>
      </c>
      <c r="D214" s="17" t="s">
        <v>347</v>
      </c>
      <c r="E214" s="17">
        <v>1</v>
      </c>
      <c r="F214" s="18" t="s">
        <v>29</v>
      </c>
      <c r="G214" s="20" t="s">
        <v>348</v>
      </c>
      <c r="H214" s="20" t="s">
        <v>30</v>
      </c>
      <c r="I214" s="20"/>
      <c r="J214" s="19" t="s">
        <v>135</v>
      </c>
      <c r="K214" s="16" t="s">
        <v>17</v>
      </c>
      <c r="L214" s="19">
        <v>2</v>
      </c>
      <c r="M214" s="21" t="str">
        <f t="shared" si="0"/>
        <v/>
      </c>
      <c r="N214" s="21" t="str">
        <f t="shared" si="1"/>
        <v>X</v>
      </c>
      <c r="O214" s="34" t="str">
        <f t="shared" si="2"/>
        <v>X</v>
      </c>
    </row>
    <row r="215" spans="1:15" ht="14.25" customHeight="1" x14ac:dyDescent="0.55000000000000004">
      <c r="A215" s="43" t="s">
        <v>349</v>
      </c>
      <c r="B215" s="17">
        <v>211</v>
      </c>
      <c r="C215" s="17" t="s">
        <v>20</v>
      </c>
      <c r="D215" s="17" t="s">
        <v>47</v>
      </c>
      <c r="E215" s="17">
        <v>10</v>
      </c>
      <c r="F215" s="18" t="s">
        <v>29</v>
      </c>
      <c r="G215" s="19"/>
      <c r="H215" s="20" t="s">
        <v>30</v>
      </c>
      <c r="I215" s="20"/>
      <c r="J215" s="35" t="s">
        <v>350</v>
      </c>
      <c r="K215" s="16" t="s">
        <v>17</v>
      </c>
      <c r="L215" s="19">
        <v>2</v>
      </c>
      <c r="M215" s="21" t="str">
        <f t="shared" si="0"/>
        <v/>
      </c>
      <c r="N215" s="21" t="str">
        <f t="shared" si="1"/>
        <v>X</v>
      </c>
      <c r="O215" s="34" t="str">
        <f t="shared" si="2"/>
        <v>X</v>
      </c>
    </row>
    <row r="216" spans="1:15" ht="14.25" customHeight="1" x14ac:dyDescent="0.55000000000000004">
      <c r="A216" s="43" t="s">
        <v>351</v>
      </c>
      <c r="B216" s="17">
        <v>212</v>
      </c>
      <c r="C216" s="17" t="s">
        <v>20</v>
      </c>
      <c r="D216" s="17" t="s">
        <v>352</v>
      </c>
      <c r="E216" s="17">
        <v>1</v>
      </c>
      <c r="F216" s="18" t="s">
        <v>29</v>
      </c>
      <c r="G216" s="19"/>
      <c r="H216" s="20" t="s">
        <v>30</v>
      </c>
      <c r="I216" s="20"/>
      <c r="J216" s="35" t="s">
        <v>353</v>
      </c>
      <c r="K216" s="16" t="s">
        <v>17</v>
      </c>
      <c r="L216" s="19">
        <v>2</v>
      </c>
      <c r="M216" s="21" t="str">
        <f t="shared" si="0"/>
        <v/>
      </c>
      <c r="N216" s="21" t="str">
        <f t="shared" si="1"/>
        <v>X</v>
      </c>
      <c r="O216" s="34" t="str">
        <f t="shared" si="2"/>
        <v>X</v>
      </c>
    </row>
    <row r="217" spans="1:15" ht="14.25" customHeight="1" x14ac:dyDescent="0.55000000000000004">
      <c r="A217" s="43" t="s">
        <v>354</v>
      </c>
      <c r="B217" s="17">
        <v>213</v>
      </c>
      <c r="C217" s="17" t="s">
        <v>20</v>
      </c>
      <c r="D217" s="17" t="s">
        <v>20</v>
      </c>
      <c r="E217" s="17">
        <v>120</v>
      </c>
      <c r="F217" s="18" t="s">
        <v>29</v>
      </c>
      <c r="G217" s="19"/>
      <c r="H217" s="20" t="s">
        <v>30</v>
      </c>
      <c r="I217" s="20"/>
      <c r="J217" s="35" t="s">
        <v>355</v>
      </c>
      <c r="K217" s="16" t="s">
        <v>17</v>
      </c>
      <c r="L217" s="19">
        <v>2</v>
      </c>
      <c r="M217" s="21" t="str">
        <f t="shared" si="0"/>
        <v/>
      </c>
      <c r="N217" s="21" t="str">
        <f t="shared" si="1"/>
        <v>X</v>
      </c>
      <c r="O217" s="34" t="str">
        <f t="shared" si="2"/>
        <v>X</v>
      </c>
    </row>
    <row r="218" spans="1:15" ht="14.25" customHeight="1" x14ac:dyDescent="0.55000000000000004">
      <c r="A218" s="43" t="s">
        <v>356</v>
      </c>
      <c r="B218" s="17">
        <v>214</v>
      </c>
      <c r="C218" s="17" t="s">
        <v>20</v>
      </c>
      <c r="D218" s="17" t="s">
        <v>20</v>
      </c>
      <c r="E218" s="17">
        <v>120</v>
      </c>
      <c r="F218" s="18" t="s">
        <v>29</v>
      </c>
      <c r="G218" s="19"/>
      <c r="H218" s="20" t="s">
        <v>30</v>
      </c>
      <c r="I218" s="20"/>
      <c r="J218" s="35" t="s">
        <v>60</v>
      </c>
      <c r="K218" s="16" t="s">
        <v>17</v>
      </c>
      <c r="L218" s="19">
        <v>2</v>
      </c>
      <c r="M218" s="21" t="str">
        <f t="shared" si="0"/>
        <v/>
      </c>
      <c r="N218" s="21" t="str">
        <f t="shared" si="1"/>
        <v>X</v>
      </c>
      <c r="O218" s="34" t="str">
        <f t="shared" si="2"/>
        <v>X</v>
      </c>
    </row>
    <row r="219" spans="1:15" ht="14.25" customHeight="1" x14ac:dyDescent="0.55000000000000004">
      <c r="A219" s="43" t="s">
        <v>357</v>
      </c>
      <c r="B219" s="17">
        <v>215</v>
      </c>
      <c r="C219" s="17" t="s">
        <v>20</v>
      </c>
      <c r="D219" s="17" t="s">
        <v>20</v>
      </c>
      <c r="E219" s="17">
        <v>150</v>
      </c>
      <c r="F219" s="18" t="s">
        <v>29</v>
      </c>
      <c r="G219" s="19"/>
      <c r="H219" s="20" t="s">
        <v>30</v>
      </c>
      <c r="I219" s="20"/>
      <c r="J219" s="35" t="s">
        <v>358</v>
      </c>
      <c r="K219" s="16" t="s">
        <v>17</v>
      </c>
      <c r="L219" s="19">
        <v>2</v>
      </c>
      <c r="M219" s="21" t="str">
        <f t="shared" si="0"/>
        <v/>
      </c>
      <c r="N219" s="21" t="str">
        <f t="shared" si="1"/>
        <v>X</v>
      </c>
      <c r="O219" s="34" t="str">
        <f t="shared" si="2"/>
        <v>X</v>
      </c>
    </row>
    <row r="220" spans="1:15" ht="14.25" customHeight="1" x14ac:dyDescent="0.55000000000000004">
      <c r="A220" s="43" t="s">
        <v>359</v>
      </c>
      <c r="B220" s="17">
        <v>216</v>
      </c>
      <c r="C220" s="17" t="s">
        <v>20</v>
      </c>
      <c r="D220" s="17" t="s">
        <v>20</v>
      </c>
      <c r="E220" s="17">
        <v>150</v>
      </c>
      <c r="F220" s="18" t="s">
        <v>29</v>
      </c>
      <c r="G220" s="19"/>
      <c r="H220" s="20" t="s">
        <v>30</v>
      </c>
      <c r="I220" s="20"/>
      <c r="J220" s="19" t="s">
        <v>360</v>
      </c>
      <c r="K220" s="16" t="s">
        <v>17</v>
      </c>
      <c r="L220" s="19">
        <v>2</v>
      </c>
      <c r="M220" s="21" t="str">
        <f t="shared" si="0"/>
        <v/>
      </c>
      <c r="N220" s="21" t="str">
        <f t="shared" si="1"/>
        <v>X</v>
      </c>
      <c r="O220" s="34" t="str">
        <f t="shared" si="2"/>
        <v>X</v>
      </c>
    </row>
    <row r="221" spans="1:15" ht="14.25" customHeight="1" x14ac:dyDescent="0.55000000000000004">
      <c r="A221" s="43" t="s">
        <v>361</v>
      </c>
      <c r="B221" s="17">
        <v>217</v>
      </c>
      <c r="C221" s="17" t="s">
        <v>20</v>
      </c>
      <c r="D221" s="17" t="s">
        <v>20</v>
      </c>
      <c r="E221" s="17">
        <v>40</v>
      </c>
      <c r="F221" s="18" t="s">
        <v>29</v>
      </c>
      <c r="G221" s="19"/>
      <c r="H221" s="20" t="s">
        <v>30</v>
      </c>
      <c r="I221" s="20"/>
      <c r="J221" s="35" t="s">
        <v>72</v>
      </c>
      <c r="K221" s="16" t="s">
        <v>17</v>
      </c>
      <c r="L221" s="19">
        <v>2</v>
      </c>
      <c r="M221" s="21" t="str">
        <f t="shared" si="0"/>
        <v/>
      </c>
      <c r="N221" s="21" t="str">
        <f t="shared" si="1"/>
        <v>X</v>
      </c>
      <c r="O221" s="34" t="str">
        <f t="shared" si="2"/>
        <v>X</v>
      </c>
    </row>
    <row r="222" spans="1:15" ht="14.25" customHeight="1" x14ac:dyDescent="0.55000000000000004">
      <c r="A222" s="43" t="s">
        <v>362</v>
      </c>
      <c r="B222" s="17">
        <v>218</v>
      </c>
      <c r="C222" s="17" t="s">
        <v>20</v>
      </c>
      <c r="D222" s="17" t="s">
        <v>20</v>
      </c>
      <c r="E222" s="17">
        <v>50</v>
      </c>
      <c r="F222" s="18" t="s">
        <v>29</v>
      </c>
      <c r="G222" s="19"/>
      <c r="H222" s="20" t="s">
        <v>30</v>
      </c>
      <c r="I222" s="20"/>
      <c r="J222" s="35" t="s">
        <v>363</v>
      </c>
      <c r="K222" s="16" t="s">
        <v>17</v>
      </c>
      <c r="L222" s="19">
        <v>2</v>
      </c>
      <c r="M222" s="21" t="str">
        <f t="shared" si="0"/>
        <v/>
      </c>
      <c r="N222" s="21" t="str">
        <f t="shared" si="1"/>
        <v>X</v>
      </c>
      <c r="O222" s="34" t="str">
        <f t="shared" si="2"/>
        <v>X</v>
      </c>
    </row>
    <row r="223" spans="1:15" ht="14.25" customHeight="1" x14ac:dyDescent="0.55000000000000004">
      <c r="A223" s="43" t="s">
        <v>364</v>
      </c>
      <c r="B223" s="17">
        <v>219</v>
      </c>
      <c r="C223" s="17" t="s">
        <v>20</v>
      </c>
      <c r="D223" s="17" t="s">
        <v>20</v>
      </c>
      <c r="E223" s="17">
        <v>3</v>
      </c>
      <c r="F223" s="18" t="s">
        <v>29</v>
      </c>
      <c r="G223" s="19"/>
      <c r="H223" s="20" t="s">
        <v>30</v>
      </c>
      <c r="I223" s="20"/>
      <c r="J223" s="35" t="s">
        <v>83</v>
      </c>
      <c r="K223" s="16" t="s">
        <v>17</v>
      </c>
      <c r="L223" s="19">
        <v>2</v>
      </c>
      <c r="M223" s="21" t="str">
        <f t="shared" si="0"/>
        <v/>
      </c>
      <c r="N223" s="21" t="str">
        <f t="shared" si="1"/>
        <v>X</v>
      </c>
      <c r="O223" s="34" t="str">
        <f t="shared" si="2"/>
        <v>X</v>
      </c>
    </row>
    <row r="224" spans="1:15" ht="14.25" customHeight="1" x14ac:dyDescent="0.55000000000000004">
      <c r="A224" s="43" t="s">
        <v>365</v>
      </c>
      <c r="B224" s="17">
        <v>220</v>
      </c>
      <c r="C224" s="17" t="s">
        <v>20</v>
      </c>
      <c r="D224" s="17" t="s">
        <v>20</v>
      </c>
      <c r="E224" s="17">
        <v>55</v>
      </c>
      <c r="F224" s="18" t="s">
        <v>29</v>
      </c>
      <c r="G224" s="19"/>
      <c r="H224" s="20" t="s">
        <v>30</v>
      </c>
      <c r="I224" s="20"/>
      <c r="J224" s="35" t="s">
        <v>75</v>
      </c>
      <c r="K224" s="16" t="s">
        <v>17</v>
      </c>
      <c r="L224" s="19">
        <v>2</v>
      </c>
      <c r="M224" s="21" t="str">
        <f t="shared" si="0"/>
        <v/>
      </c>
      <c r="N224" s="21" t="str">
        <f t="shared" si="1"/>
        <v>X</v>
      </c>
      <c r="O224" s="34" t="str">
        <f t="shared" si="2"/>
        <v>X</v>
      </c>
    </row>
    <row r="225" spans="1:15" ht="14.25" customHeight="1" x14ac:dyDescent="0.55000000000000004">
      <c r="A225" s="16" t="s">
        <v>366</v>
      </c>
      <c r="B225" s="17">
        <v>221</v>
      </c>
      <c r="C225" s="17" t="s">
        <v>20</v>
      </c>
      <c r="D225" s="17" t="s">
        <v>86</v>
      </c>
      <c r="E225" s="17">
        <v>1</v>
      </c>
      <c r="F225" s="18" t="s">
        <v>29</v>
      </c>
      <c r="G225" s="19"/>
      <c r="H225" s="20" t="s">
        <v>30</v>
      </c>
      <c r="I225" s="20"/>
      <c r="J225" s="19" t="s">
        <v>88</v>
      </c>
      <c r="K225" s="16" t="s">
        <v>17</v>
      </c>
      <c r="L225" s="19">
        <v>2</v>
      </c>
      <c r="M225" s="21" t="str">
        <f t="shared" si="0"/>
        <v/>
      </c>
      <c r="N225" s="21" t="str">
        <f t="shared" si="1"/>
        <v>X</v>
      </c>
      <c r="O225" s="34" t="str">
        <f t="shared" si="2"/>
        <v>X</v>
      </c>
    </row>
    <row r="226" spans="1:15" ht="14.25" customHeight="1" x14ac:dyDescent="0.55000000000000004">
      <c r="A226" s="16" t="s">
        <v>367</v>
      </c>
      <c r="B226" s="17">
        <v>222</v>
      </c>
      <c r="C226" s="17" t="s">
        <v>20</v>
      </c>
      <c r="D226" s="17" t="s">
        <v>20</v>
      </c>
      <c r="E226" s="17">
        <v>20</v>
      </c>
      <c r="F226" s="18" t="s">
        <v>29</v>
      </c>
      <c r="G226" s="19"/>
      <c r="H226" s="20" t="s">
        <v>30</v>
      </c>
      <c r="I226" s="20"/>
      <c r="J226" s="19" t="s">
        <v>368</v>
      </c>
      <c r="K226" s="16" t="s">
        <v>17</v>
      </c>
      <c r="L226" s="19">
        <v>2</v>
      </c>
      <c r="M226" s="21" t="str">
        <f t="shared" si="0"/>
        <v/>
      </c>
      <c r="N226" s="21" t="str">
        <f t="shared" si="1"/>
        <v>X</v>
      </c>
      <c r="O226" s="34" t="str">
        <f t="shared" si="2"/>
        <v>X</v>
      </c>
    </row>
    <row r="227" spans="1:15" ht="14.25" customHeight="1" x14ac:dyDescent="0.55000000000000004">
      <c r="A227" s="16" t="s">
        <v>369</v>
      </c>
      <c r="B227" s="17">
        <v>223</v>
      </c>
      <c r="C227" s="17" t="s">
        <v>20</v>
      </c>
      <c r="D227" s="17" t="s">
        <v>20</v>
      </c>
      <c r="E227" s="17">
        <v>2</v>
      </c>
      <c r="F227" s="18" t="s">
        <v>29</v>
      </c>
      <c r="G227" s="19"/>
      <c r="H227" s="20" t="s">
        <v>30</v>
      </c>
      <c r="I227" s="20"/>
      <c r="J227" s="35" t="s">
        <v>370</v>
      </c>
      <c r="K227" s="16" t="s">
        <v>17</v>
      </c>
      <c r="L227" s="19">
        <v>2</v>
      </c>
      <c r="M227" s="21" t="str">
        <f t="shared" si="0"/>
        <v/>
      </c>
      <c r="N227" s="21" t="str">
        <f t="shared" si="1"/>
        <v>X</v>
      </c>
      <c r="O227" s="34" t="str">
        <f t="shared" si="2"/>
        <v>X</v>
      </c>
    </row>
    <row r="228" spans="1:15" ht="14.25" customHeight="1" x14ac:dyDescent="0.55000000000000004">
      <c r="A228" s="16" t="s">
        <v>371</v>
      </c>
      <c r="B228" s="17">
        <v>224</v>
      </c>
      <c r="C228" s="17" t="s">
        <v>20</v>
      </c>
      <c r="D228" s="17" t="s">
        <v>20</v>
      </c>
      <c r="E228" s="17">
        <v>15</v>
      </c>
      <c r="F228" s="18" t="s">
        <v>29</v>
      </c>
      <c r="G228" s="19"/>
      <c r="H228" s="20" t="s">
        <v>30</v>
      </c>
      <c r="I228" s="20"/>
      <c r="J228" s="19" t="s">
        <v>372</v>
      </c>
      <c r="K228" s="16" t="s">
        <v>17</v>
      </c>
      <c r="L228" s="19">
        <v>2</v>
      </c>
      <c r="M228" s="21" t="str">
        <f t="shared" si="0"/>
        <v/>
      </c>
      <c r="N228" s="21" t="str">
        <f t="shared" si="1"/>
        <v>X</v>
      </c>
      <c r="O228" s="34" t="str">
        <f t="shared" si="2"/>
        <v>X</v>
      </c>
    </row>
    <row r="229" spans="1:15" ht="14.25" customHeight="1" x14ac:dyDescent="0.55000000000000004">
      <c r="A229" s="37" t="s">
        <v>373</v>
      </c>
      <c r="B229" s="17">
        <v>225</v>
      </c>
      <c r="C229" s="17" t="s">
        <v>20</v>
      </c>
      <c r="D229" s="17" t="s">
        <v>20</v>
      </c>
      <c r="E229" s="17">
        <v>15</v>
      </c>
      <c r="F229" s="18" t="s">
        <v>29</v>
      </c>
      <c r="G229" s="19"/>
      <c r="H229" s="20" t="s">
        <v>30</v>
      </c>
      <c r="I229" s="20"/>
      <c r="J229" s="19" t="s">
        <v>372</v>
      </c>
      <c r="K229" s="16" t="s">
        <v>17</v>
      </c>
      <c r="L229" s="19">
        <v>2</v>
      </c>
      <c r="M229" s="21" t="str">
        <f t="shared" si="0"/>
        <v/>
      </c>
      <c r="N229" s="21" t="str">
        <f t="shared" si="1"/>
        <v>X</v>
      </c>
      <c r="O229" s="34" t="str">
        <f t="shared" si="2"/>
        <v>X</v>
      </c>
    </row>
    <row r="230" spans="1:15" ht="14.25" customHeight="1" x14ac:dyDescent="0.55000000000000004">
      <c r="A230" s="37" t="s">
        <v>374</v>
      </c>
      <c r="B230" s="17">
        <v>226</v>
      </c>
      <c r="C230" s="17" t="s">
        <v>20</v>
      </c>
      <c r="D230" s="17" t="s">
        <v>375</v>
      </c>
      <c r="E230" s="17">
        <v>1</v>
      </c>
      <c r="F230" s="18" t="s">
        <v>29</v>
      </c>
      <c r="G230" s="19"/>
      <c r="H230" s="20" t="s">
        <v>30</v>
      </c>
      <c r="I230" s="20"/>
      <c r="J230" s="19" t="s">
        <v>88</v>
      </c>
      <c r="K230" s="16" t="s">
        <v>17</v>
      </c>
      <c r="L230" s="19">
        <v>2</v>
      </c>
      <c r="M230" s="21" t="str">
        <f t="shared" si="0"/>
        <v/>
      </c>
      <c r="N230" s="21" t="str">
        <f t="shared" si="1"/>
        <v>X</v>
      </c>
      <c r="O230" s="34" t="str">
        <f t="shared" si="2"/>
        <v>X</v>
      </c>
    </row>
    <row r="231" spans="1:15" ht="14.25" customHeight="1" x14ac:dyDescent="0.55000000000000004">
      <c r="A231" s="16" t="s">
        <v>376</v>
      </c>
      <c r="B231" s="17">
        <v>227</v>
      </c>
      <c r="C231" s="17" t="s">
        <v>20</v>
      </c>
      <c r="D231" s="17" t="s">
        <v>20</v>
      </c>
      <c r="E231" s="17">
        <v>65</v>
      </c>
      <c r="F231" s="18" t="s">
        <v>29</v>
      </c>
      <c r="G231" s="19"/>
      <c r="H231" s="20" t="s">
        <v>30</v>
      </c>
      <c r="I231" s="20"/>
      <c r="J231" s="19" t="s">
        <v>153</v>
      </c>
      <c r="K231" s="16" t="s">
        <v>17</v>
      </c>
      <c r="L231" s="19">
        <f t="shared" ref="L231:L239" si="4">IF(K231="Public",1,IF(K231="FOUO (CUI)",2,IF(K231="Sensitive (CUI)",3,IF(K231="System-Only",4))))</f>
        <v>2</v>
      </c>
      <c r="M231" s="21" t="str">
        <f t="shared" si="0"/>
        <v/>
      </c>
      <c r="N231" s="21" t="str">
        <f t="shared" si="1"/>
        <v>X</v>
      </c>
      <c r="O231" s="34" t="str">
        <f t="shared" si="2"/>
        <v>X</v>
      </c>
    </row>
    <row r="232" spans="1:15" ht="14.25" customHeight="1" x14ac:dyDescent="0.55000000000000004">
      <c r="A232" s="16" t="s">
        <v>377</v>
      </c>
      <c r="B232" s="17">
        <v>228</v>
      </c>
      <c r="C232" s="17" t="s">
        <v>20</v>
      </c>
      <c r="D232" s="17" t="s">
        <v>20</v>
      </c>
      <c r="E232" s="17">
        <v>3</v>
      </c>
      <c r="F232" s="18" t="s">
        <v>29</v>
      </c>
      <c r="G232" s="19"/>
      <c r="H232" s="20" t="s">
        <v>30</v>
      </c>
      <c r="I232" s="20"/>
      <c r="J232" s="19" t="s">
        <v>42</v>
      </c>
      <c r="K232" s="16" t="s">
        <v>17</v>
      </c>
      <c r="L232" s="19">
        <f t="shared" si="4"/>
        <v>2</v>
      </c>
      <c r="M232" s="21" t="str">
        <f t="shared" si="0"/>
        <v/>
      </c>
      <c r="N232" s="21" t="str">
        <f t="shared" si="1"/>
        <v>X</v>
      </c>
      <c r="O232" s="34" t="str">
        <f t="shared" si="2"/>
        <v>X</v>
      </c>
    </row>
    <row r="233" spans="1:15" ht="14.25" customHeight="1" x14ac:dyDescent="0.55000000000000004">
      <c r="A233" s="16" t="s">
        <v>378</v>
      </c>
      <c r="B233" s="17">
        <v>229</v>
      </c>
      <c r="C233" s="17" t="s">
        <v>20</v>
      </c>
      <c r="D233" s="17" t="s">
        <v>20</v>
      </c>
      <c r="E233" s="17">
        <v>65</v>
      </c>
      <c r="F233" s="18" t="s">
        <v>29</v>
      </c>
      <c r="G233" s="19"/>
      <c r="H233" s="20" t="s">
        <v>30</v>
      </c>
      <c r="I233" s="20"/>
      <c r="J233" s="19" t="s">
        <v>156</v>
      </c>
      <c r="K233" s="16" t="s">
        <v>17</v>
      </c>
      <c r="L233" s="19">
        <f t="shared" si="4"/>
        <v>2</v>
      </c>
      <c r="M233" s="21" t="str">
        <f t="shared" si="0"/>
        <v/>
      </c>
      <c r="N233" s="21" t="str">
        <f t="shared" si="1"/>
        <v>X</v>
      </c>
      <c r="O233" s="34" t="str">
        <f t="shared" si="2"/>
        <v>X</v>
      </c>
    </row>
    <row r="234" spans="1:15" ht="14.25" customHeight="1" x14ac:dyDescent="0.55000000000000004">
      <c r="A234" s="16" t="s">
        <v>379</v>
      </c>
      <c r="B234" s="17">
        <v>230</v>
      </c>
      <c r="C234" s="17" t="s">
        <v>20</v>
      </c>
      <c r="D234" s="17" t="s">
        <v>20</v>
      </c>
      <c r="E234" s="17">
        <v>50</v>
      </c>
      <c r="F234" s="18" t="s">
        <v>29</v>
      </c>
      <c r="G234" s="19"/>
      <c r="H234" s="20" t="s">
        <v>30</v>
      </c>
      <c r="I234" s="20"/>
      <c r="J234" s="19" t="s">
        <v>158</v>
      </c>
      <c r="K234" s="16" t="s">
        <v>17</v>
      </c>
      <c r="L234" s="19">
        <f t="shared" si="4"/>
        <v>2</v>
      </c>
      <c r="M234" s="21" t="str">
        <f t="shared" si="0"/>
        <v/>
      </c>
      <c r="N234" s="21" t="str">
        <f t="shared" si="1"/>
        <v>X</v>
      </c>
      <c r="O234" s="34" t="str">
        <f t="shared" si="2"/>
        <v>X</v>
      </c>
    </row>
    <row r="235" spans="1:15" ht="14.25" customHeight="1" x14ac:dyDescent="0.55000000000000004">
      <c r="A235" s="16" t="s">
        <v>380</v>
      </c>
      <c r="B235" s="17">
        <v>231</v>
      </c>
      <c r="C235" s="17" t="s">
        <v>20</v>
      </c>
      <c r="D235" s="17" t="s">
        <v>79</v>
      </c>
      <c r="E235" s="17">
        <v>30</v>
      </c>
      <c r="F235" s="18" t="s">
        <v>29</v>
      </c>
      <c r="G235" s="19"/>
      <c r="H235" s="20" t="s">
        <v>30</v>
      </c>
      <c r="I235" s="20" t="s">
        <v>77</v>
      </c>
      <c r="J235" s="19" t="s">
        <v>173</v>
      </c>
      <c r="K235" s="16" t="s">
        <v>17</v>
      </c>
      <c r="L235" s="19">
        <f t="shared" si="4"/>
        <v>2</v>
      </c>
      <c r="M235" s="21" t="str">
        <f t="shared" si="0"/>
        <v/>
      </c>
      <c r="N235" s="21" t="str">
        <f t="shared" si="1"/>
        <v>X</v>
      </c>
      <c r="O235" s="34" t="str">
        <f t="shared" si="2"/>
        <v>X</v>
      </c>
    </row>
    <row r="236" spans="1:15" ht="14.25" customHeight="1" x14ac:dyDescent="0.55000000000000004">
      <c r="A236" s="16" t="s">
        <v>381</v>
      </c>
      <c r="B236" s="17">
        <v>232</v>
      </c>
      <c r="C236" s="17" t="s">
        <v>20</v>
      </c>
      <c r="D236" s="17" t="s">
        <v>20</v>
      </c>
      <c r="E236" s="17">
        <v>25</v>
      </c>
      <c r="F236" s="18" t="s">
        <v>29</v>
      </c>
      <c r="G236" s="19"/>
      <c r="H236" s="20" t="s">
        <v>30</v>
      </c>
      <c r="I236" s="20"/>
      <c r="J236" s="19" t="s">
        <v>175</v>
      </c>
      <c r="K236" s="16" t="s">
        <v>17</v>
      </c>
      <c r="L236" s="19">
        <f t="shared" si="4"/>
        <v>2</v>
      </c>
      <c r="M236" s="21" t="str">
        <f t="shared" si="0"/>
        <v/>
      </c>
      <c r="N236" s="21" t="str">
        <f t="shared" si="1"/>
        <v>X</v>
      </c>
      <c r="O236" s="34" t="str">
        <f t="shared" si="2"/>
        <v>X</v>
      </c>
    </row>
    <row r="237" spans="1:15" ht="14.25" customHeight="1" x14ac:dyDescent="0.55000000000000004">
      <c r="A237" s="16" t="s">
        <v>382</v>
      </c>
      <c r="B237" s="17">
        <v>233</v>
      </c>
      <c r="C237" s="17" t="s">
        <v>20</v>
      </c>
      <c r="D237" s="17" t="s">
        <v>20</v>
      </c>
      <c r="E237" s="17">
        <v>30</v>
      </c>
      <c r="F237" s="18" t="s">
        <v>29</v>
      </c>
      <c r="G237" s="19"/>
      <c r="H237" s="20" t="s">
        <v>30</v>
      </c>
      <c r="I237" s="20" t="s">
        <v>177</v>
      </c>
      <c r="J237" s="19" t="s">
        <v>178</v>
      </c>
      <c r="K237" s="16" t="s">
        <v>17</v>
      </c>
      <c r="L237" s="19">
        <f t="shared" si="4"/>
        <v>2</v>
      </c>
      <c r="M237" s="21" t="str">
        <f t="shared" si="0"/>
        <v/>
      </c>
      <c r="N237" s="21" t="str">
        <f t="shared" si="1"/>
        <v>X</v>
      </c>
      <c r="O237" s="34" t="str">
        <f t="shared" si="2"/>
        <v>X</v>
      </c>
    </row>
    <row r="238" spans="1:15" ht="14.25" customHeight="1" x14ac:dyDescent="0.55000000000000004">
      <c r="A238" s="16" t="s">
        <v>383</v>
      </c>
      <c r="B238" s="17">
        <v>234</v>
      </c>
      <c r="C238" s="17" t="s">
        <v>20</v>
      </c>
      <c r="D238" s="17" t="s">
        <v>20</v>
      </c>
      <c r="E238" s="17">
        <v>30</v>
      </c>
      <c r="F238" s="18" t="s">
        <v>29</v>
      </c>
      <c r="G238" s="19"/>
      <c r="H238" s="20" t="s">
        <v>30</v>
      </c>
      <c r="I238" s="20"/>
      <c r="J238" s="19" t="s">
        <v>180</v>
      </c>
      <c r="K238" s="16" t="s">
        <v>17</v>
      </c>
      <c r="L238" s="19">
        <f t="shared" si="4"/>
        <v>2</v>
      </c>
      <c r="M238" s="21" t="str">
        <f t="shared" si="0"/>
        <v/>
      </c>
      <c r="N238" s="21" t="str">
        <f t="shared" si="1"/>
        <v>X</v>
      </c>
      <c r="O238" s="34" t="str">
        <f t="shared" si="2"/>
        <v>X</v>
      </c>
    </row>
    <row r="239" spans="1:15" ht="18.75" customHeight="1" x14ac:dyDescent="0.55000000000000004">
      <c r="A239" s="16" t="s">
        <v>384</v>
      </c>
      <c r="B239" s="17">
        <v>235</v>
      </c>
      <c r="C239" s="17" t="s">
        <v>20</v>
      </c>
      <c r="D239" s="17" t="s">
        <v>20</v>
      </c>
      <c r="E239" s="17">
        <v>80</v>
      </c>
      <c r="F239" s="18" t="s">
        <v>29</v>
      </c>
      <c r="G239" s="19"/>
      <c r="H239" s="20" t="s">
        <v>30</v>
      </c>
      <c r="I239" s="20"/>
      <c r="J239" s="19" t="s">
        <v>182</v>
      </c>
      <c r="K239" s="16" t="s">
        <v>17</v>
      </c>
      <c r="L239" s="19">
        <f t="shared" si="4"/>
        <v>2</v>
      </c>
      <c r="M239" s="21" t="str">
        <f t="shared" si="0"/>
        <v/>
      </c>
      <c r="N239" s="21" t="str">
        <f t="shared" si="1"/>
        <v>X</v>
      </c>
      <c r="O239" s="34" t="str">
        <f t="shared" si="2"/>
        <v>X</v>
      </c>
    </row>
    <row r="240" spans="1:15" ht="55.5" customHeight="1" x14ac:dyDescent="0.55000000000000004">
      <c r="A240" s="16" t="s">
        <v>385</v>
      </c>
      <c r="B240" s="17">
        <v>236</v>
      </c>
      <c r="C240" s="17" t="s">
        <v>20</v>
      </c>
      <c r="D240" s="17" t="s">
        <v>386</v>
      </c>
      <c r="E240" s="17">
        <v>1</v>
      </c>
      <c r="F240" s="18" t="s">
        <v>387</v>
      </c>
      <c r="G240" s="20" t="s">
        <v>388</v>
      </c>
      <c r="H240" s="20" t="s">
        <v>389</v>
      </c>
      <c r="I240" s="20"/>
      <c r="J240" s="19">
        <v>1</v>
      </c>
      <c r="K240" s="16" t="s">
        <v>18</v>
      </c>
      <c r="L240" s="19">
        <v>3</v>
      </c>
      <c r="M240" s="21" t="str">
        <f t="shared" si="0"/>
        <v/>
      </c>
      <c r="N240" s="21" t="str">
        <f t="shared" si="1"/>
        <v/>
      </c>
      <c r="O240" s="34" t="str">
        <f t="shared" si="2"/>
        <v>X</v>
      </c>
    </row>
    <row r="241" spans="1:15" ht="14.25" customHeight="1" x14ac:dyDescent="0.55000000000000004">
      <c r="A241" s="16" t="s">
        <v>390</v>
      </c>
      <c r="B241" s="17">
        <v>237</v>
      </c>
      <c r="C241" s="17" t="s">
        <v>20</v>
      </c>
      <c r="D241" s="17" t="s">
        <v>79</v>
      </c>
      <c r="E241" s="17">
        <v>9</v>
      </c>
      <c r="F241" s="18" t="s">
        <v>29</v>
      </c>
      <c r="G241" s="19"/>
      <c r="H241" s="20" t="s">
        <v>389</v>
      </c>
      <c r="I241" s="20"/>
      <c r="J241" s="19">
        <v>411112260</v>
      </c>
      <c r="K241" s="16" t="s">
        <v>18</v>
      </c>
      <c r="L241" s="19">
        <v>3</v>
      </c>
      <c r="M241" s="21" t="str">
        <f t="shared" si="0"/>
        <v/>
      </c>
      <c r="N241" s="21" t="str">
        <f t="shared" si="1"/>
        <v/>
      </c>
      <c r="O241" s="34" t="str">
        <f t="shared" si="2"/>
        <v>X</v>
      </c>
    </row>
    <row r="242" spans="1:15" ht="14.25" customHeight="1" x14ac:dyDescent="0.55000000000000004">
      <c r="A242" s="16" t="s">
        <v>391</v>
      </c>
      <c r="B242" s="17">
        <v>238</v>
      </c>
      <c r="C242" s="17" t="s">
        <v>20</v>
      </c>
      <c r="D242" s="17" t="s">
        <v>20</v>
      </c>
      <c r="E242" s="17">
        <v>25</v>
      </c>
      <c r="F242" s="18" t="s">
        <v>29</v>
      </c>
      <c r="G242" s="19"/>
      <c r="H242" s="20" t="s">
        <v>30</v>
      </c>
      <c r="I242" s="20" t="s">
        <v>392</v>
      </c>
      <c r="J242" s="35" t="s">
        <v>393</v>
      </c>
      <c r="K242" s="16" t="s">
        <v>17</v>
      </c>
      <c r="L242" s="19">
        <v>2</v>
      </c>
      <c r="M242" s="21" t="str">
        <f t="shared" si="0"/>
        <v/>
      </c>
      <c r="N242" s="21" t="str">
        <f t="shared" si="1"/>
        <v>X</v>
      </c>
      <c r="O242" s="34" t="str">
        <f t="shared" si="2"/>
        <v>X</v>
      </c>
    </row>
    <row r="243" spans="1:15" ht="14.25" customHeight="1" x14ac:dyDescent="0.55000000000000004">
      <c r="A243" s="16" t="s">
        <v>394</v>
      </c>
      <c r="B243" s="17">
        <v>239</v>
      </c>
      <c r="C243" s="17" t="s">
        <v>20</v>
      </c>
      <c r="D243" s="17" t="s">
        <v>20</v>
      </c>
      <c r="E243" s="17">
        <v>25</v>
      </c>
      <c r="F243" s="18" t="s">
        <v>29</v>
      </c>
      <c r="G243" s="19"/>
      <c r="H243" s="20" t="s">
        <v>30</v>
      </c>
      <c r="I243" s="20" t="s">
        <v>392</v>
      </c>
      <c r="J243" s="35" t="s">
        <v>395</v>
      </c>
      <c r="K243" s="16" t="s">
        <v>17</v>
      </c>
      <c r="L243" s="19">
        <v>2</v>
      </c>
      <c r="M243" s="21" t="str">
        <f t="shared" si="0"/>
        <v/>
      </c>
      <c r="N243" s="21" t="str">
        <f t="shared" si="1"/>
        <v>X</v>
      </c>
      <c r="O243" s="34" t="str">
        <f t="shared" si="2"/>
        <v>X</v>
      </c>
    </row>
    <row r="244" spans="1:15" ht="14.25" customHeight="1" x14ac:dyDescent="0.55000000000000004">
      <c r="A244" s="16" t="s">
        <v>396</v>
      </c>
      <c r="B244" s="17">
        <v>240</v>
      </c>
      <c r="C244" s="17" t="s">
        <v>20</v>
      </c>
      <c r="D244" s="17" t="s">
        <v>20</v>
      </c>
      <c r="E244" s="17">
        <v>50</v>
      </c>
      <c r="F244" s="18" t="s">
        <v>29</v>
      </c>
      <c r="G244" s="19"/>
      <c r="H244" s="20" t="s">
        <v>30</v>
      </c>
      <c r="I244" s="20" t="s">
        <v>397</v>
      </c>
      <c r="J244" s="35" t="s">
        <v>398</v>
      </c>
      <c r="K244" s="16" t="s">
        <v>18</v>
      </c>
      <c r="L244" s="19">
        <v>3</v>
      </c>
      <c r="M244" s="21" t="str">
        <f t="shared" si="0"/>
        <v/>
      </c>
      <c r="N244" s="21" t="str">
        <f t="shared" si="1"/>
        <v/>
      </c>
      <c r="O244" s="34" t="str">
        <f t="shared" si="2"/>
        <v>X</v>
      </c>
    </row>
    <row r="245" spans="1:15" ht="14.25" customHeight="1" x14ac:dyDescent="0.55000000000000004">
      <c r="A245" s="16" t="s">
        <v>399</v>
      </c>
      <c r="B245" s="17">
        <v>241</v>
      </c>
      <c r="C245" s="17" t="s">
        <v>20</v>
      </c>
      <c r="D245" s="17" t="s">
        <v>20</v>
      </c>
      <c r="E245" s="17">
        <v>20</v>
      </c>
      <c r="F245" s="18" t="s">
        <v>29</v>
      </c>
      <c r="G245" s="19"/>
      <c r="H245" s="20" t="s">
        <v>30</v>
      </c>
      <c r="I245" s="20" t="s">
        <v>397</v>
      </c>
      <c r="J245" s="35" t="s">
        <v>400</v>
      </c>
      <c r="K245" s="16" t="s">
        <v>18</v>
      </c>
      <c r="L245" s="19">
        <v>3</v>
      </c>
      <c r="M245" s="21" t="str">
        <f t="shared" si="0"/>
        <v/>
      </c>
      <c r="N245" s="21" t="str">
        <f t="shared" si="1"/>
        <v/>
      </c>
      <c r="O245" s="34" t="str">
        <f t="shared" si="2"/>
        <v>X</v>
      </c>
    </row>
    <row r="246" spans="1:15" ht="14.25" customHeight="1" x14ac:dyDescent="0.55000000000000004">
      <c r="A246" s="16" t="s">
        <v>401</v>
      </c>
      <c r="B246" s="17">
        <v>242</v>
      </c>
      <c r="C246" s="17" t="s">
        <v>20</v>
      </c>
      <c r="D246" s="17" t="s">
        <v>79</v>
      </c>
      <c r="E246" s="17">
        <v>50</v>
      </c>
      <c r="F246" s="18" t="s">
        <v>29</v>
      </c>
      <c r="G246" s="19"/>
      <c r="H246" s="20" t="s">
        <v>30</v>
      </c>
      <c r="I246" s="20" t="s">
        <v>397</v>
      </c>
      <c r="J246" s="35" t="s">
        <v>402</v>
      </c>
      <c r="K246" s="16" t="s">
        <v>18</v>
      </c>
      <c r="L246" s="19">
        <v>3</v>
      </c>
      <c r="M246" s="21" t="str">
        <f t="shared" si="0"/>
        <v/>
      </c>
      <c r="N246" s="21" t="str">
        <f t="shared" si="1"/>
        <v/>
      </c>
      <c r="O246" s="34" t="str">
        <f t="shared" si="2"/>
        <v>X</v>
      </c>
    </row>
    <row r="247" spans="1:15" ht="14.25" customHeight="1" x14ac:dyDescent="0.55000000000000004">
      <c r="A247" s="16" t="s">
        <v>403</v>
      </c>
      <c r="B247" s="17">
        <v>243</v>
      </c>
      <c r="C247" s="17" t="s">
        <v>20</v>
      </c>
      <c r="D247" s="17" t="s">
        <v>404</v>
      </c>
      <c r="E247" s="17">
        <v>1</v>
      </c>
      <c r="F247" s="18" t="s">
        <v>29</v>
      </c>
      <c r="G247" s="19"/>
      <c r="H247" s="20" t="s">
        <v>30</v>
      </c>
      <c r="I247" s="20" t="s">
        <v>397</v>
      </c>
      <c r="J247" s="35" t="s">
        <v>405</v>
      </c>
      <c r="K247" s="16" t="s">
        <v>18</v>
      </c>
      <c r="L247" s="19">
        <v>3</v>
      </c>
      <c r="M247" s="21" t="str">
        <f t="shared" si="0"/>
        <v/>
      </c>
      <c r="N247" s="21" t="str">
        <f t="shared" si="1"/>
        <v/>
      </c>
      <c r="O247" s="34" t="str">
        <f t="shared" si="2"/>
        <v>X</v>
      </c>
    </row>
    <row r="248" spans="1:15" ht="14.25" customHeight="1" x14ac:dyDescent="0.55000000000000004">
      <c r="A248" s="16" t="s">
        <v>406</v>
      </c>
      <c r="B248" s="17">
        <v>244</v>
      </c>
      <c r="C248" s="17" t="s">
        <v>20</v>
      </c>
      <c r="D248" s="17" t="s">
        <v>20</v>
      </c>
      <c r="E248" s="17">
        <v>20</v>
      </c>
      <c r="F248" s="18" t="s">
        <v>29</v>
      </c>
      <c r="G248" s="19"/>
      <c r="H248" s="20" t="s">
        <v>30</v>
      </c>
      <c r="I248" s="20"/>
      <c r="J248" s="19">
        <v>1026310</v>
      </c>
      <c r="K248" s="16" t="s">
        <v>18</v>
      </c>
      <c r="L248" s="19">
        <v>3</v>
      </c>
      <c r="M248" s="21" t="str">
        <f t="shared" si="0"/>
        <v/>
      </c>
      <c r="N248" s="21" t="str">
        <f t="shared" si="1"/>
        <v/>
      </c>
      <c r="O248" s="34" t="str">
        <f t="shared" si="2"/>
        <v>X</v>
      </c>
    </row>
    <row r="249" spans="1:15" ht="14.25" customHeight="1" x14ac:dyDescent="0.55000000000000004">
      <c r="A249" s="16" t="s">
        <v>407</v>
      </c>
      <c r="B249" s="17">
        <v>245</v>
      </c>
      <c r="C249" s="17" t="s">
        <v>20</v>
      </c>
      <c r="D249" s="17" t="s">
        <v>47</v>
      </c>
      <c r="E249" s="17">
        <v>8</v>
      </c>
      <c r="F249" s="18" t="s">
        <v>29</v>
      </c>
      <c r="G249" s="19"/>
      <c r="H249" s="20" t="s">
        <v>30</v>
      </c>
      <c r="I249" s="20"/>
      <c r="J249" s="35" t="s">
        <v>408</v>
      </c>
      <c r="K249" s="16" t="s">
        <v>18</v>
      </c>
      <c r="L249" s="19">
        <v>3</v>
      </c>
      <c r="M249" s="21" t="str">
        <f t="shared" si="0"/>
        <v/>
      </c>
      <c r="N249" s="21" t="str">
        <f t="shared" si="1"/>
        <v/>
      </c>
      <c r="O249" s="34" t="str">
        <f t="shared" si="2"/>
        <v>X</v>
      </c>
    </row>
    <row r="250" spans="1:15" ht="42" customHeight="1" x14ac:dyDescent="0.55000000000000004">
      <c r="A250" s="16" t="s">
        <v>409</v>
      </c>
      <c r="B250" s="17">
        <v>246</v>
      </c>
      <c r="C250" s="17" t="s">
        <v>20</v>
      </c>
      <c r="D250" s="17" t="s">
        <v>86</v>
      </c>
      <c r="E250" s="17">
        <v>1</v>
      </c>
      <c r="F250" s="18" t="s">
        <v>410</v>
      </c>
      <c r="G250" s="19"/>
      <c r="H250" s="20" t="s">
        <v>12</v>
      </c>
      <c r="I250" s="20"/>
      <c r="J250" s="19" t="s">
        <v>88</v>
      </c>
      <c r="K250" s="16" t="s">
        <v>18</v>
      </c>
      <c r="L250" s="19">
        <v>3</v>
      </c>
      <c r="M250" s="21" t="str">
        <f t="shared" si="0"/>
        <v/>
      </c>
      <c r="N250" s="47" t="str">
        <f t="shared" si="1"/>
        <v/>
      </c>
      <c r="O250" s="48" t="str">
        <f t="shared" si="2"/>
        <v>X</v>
      </c>
    </row>
    <row r="251" spans="1:15" ht="14.25" customHeight="1" x14ac:dyDescent="0.55000000000000004">
      <c r="A251" s="16" t="s">
        <v>411</v>
      </c>
      <c r="B251" s="17">
        <v>247</v>
      </c>
      <c r="C251" s="17" t="s">
        <v>20</v>
      </c>
      <c r="D251" s="17" t="s">
        <v>79</v>
      </c>
      <c r="E251" s="17">
        <v>30</v>
      </c>
      <c r="F251" s="18" t="s">
        <v>29</v>
      </c>
      <c r="G251" s="19"/>
      <c r="H251" s="20" t="s">
        <v>62</v>
      </c>
      <c r="I251" s="20" t="s">
        <v>412</v>
      </c>
      <c r="J251" s="35" t="s">
        <v>309</v>
      </c>
      <c r="K251" s="16" t="s">
        <v>18</v>
      </c>
      <c r="L251" s="19">
        <v>3</v>
      </c>
      <c r="M251" s="21" t="str">
        <f t="shared" si="0"/>
        <v/>
      </c>
      <c r="N251" s="21" t="str">
        <f t="shared" si="1"/>
        <v/>
      </c>
      <c r="O251" s="34" t="str">
        <f t="shared" si="2"/>
        <v>X</v>
      </c>
    </row>
    <row r="252" spans="1:15" ht="14.25" customHeight="1" x14ac:dyDescent="0.55000000000000004">
      <c r="A252" s="16" t="s">
        <v>413</v>
      </c>
      <c r="B252" s="17">
        <v>248</v>
      </c>
      <c r="C252" s="17" t="s">
        <v>20</v>
      </c>
      <c r="D252" s="17" t="s">
        <v>20</v>
      </c>
      <c r="E252" s="17">
        <v>30</v>
      </c>
      <c r="F252" s="18" t="s">
        <v>29</v>
      </c>
      <c r="G252" s="19"/>
      <c r="H252" s="20" t="s">
        <v>62</v>
      </c>
      <c r="I252" s="20" t="s">
        <v>412</v>
      </c>
      <c r="J252" s="35" t="s">
        <v>178</v>
      </c>
      <c r="K252" s="16" t="s">
        <v>18</v>
      </c>
      <c r="L252" s="19">
        <v>3</v>
      </c>
      <c r="M252" s="21" t="str">
        <f t="shared" si="0"/>
        <v/>
      </c>
      <c r="N252" s="21" t="str">
        <f t="shared" si="1"/>
        <v/>
      </c>
      <c r="O252" s="34" t="str">
        <f t="shared" si="2"/>
        <v>X</v>
      </c>
    </row>
    <row r="253" spans="1:15" ht="14.25" customHeight="1" x14ac:dyDescent="0.55000000000000004">
      <c r="A253" s="16" t="s">
        <v>414</v>
      </c>
      <c r="B253" s="17">
        <v>249</v>
      </c>
      <c r="C253" s="17" t="s">
        <v>20</v>
      </c>
      <c r="D253" s="17" t="s">
        <v>20</v>
      </c>
      <c r="E253" s="17">
        <v>30</v>
      </c>
      <c r="F253" s="18" t="s">
        <v>29</v>
      </c>
      <c r="G253" s="19"/>
      <c r="H253" s="20" t="s">
        <v>62</v>
      </c>
      <c r="I253" s="20" t="s">
        <v>412</v>
      </c>
      <c r="J253" s="35" t="s">
        <v>415</v>
      </c>
      <c r="K253" s="16" t="s">
        <v>18</v>
      </c>
      <c r="L253" s="19">
        <v>3</v>
      </c>
      <c r="M253" s="21" t="str">
        <f t="shared" si="0"/>
        <v/>
      </c>
      <c r="N253" s="21" t="str">
        <f t="shared" si="1"/>
        <v/>
      </c>
      <c r="O253" s="34" t="str">
        <f t="shared" si="2"/>
        <v>X</v>
      </c>
    </row>
    <row r="254" spans="1:15" ht="14.25" customHeight="1" x14ac:dyDescent="0.55000000000000004">
      <c r="A254" s="16" t="s">
        <v>416</v>
      </c>
      <c r="B254" s="17">
        <v>250</v>
      </c>
      <c r="C254" s="17" t="s">
        <v>20</v>
      </c>
      <c r="D254" s="17" t="s">
        <v>20</v>
      </c>
      <c r="E254" s="17">
        <v>80</v>
      </c>
      <c r="F254" s="18" t="s">
        <v>29</v>
      </c>
      <c r="G254" s="19"/>
      <c r="H254" s="20" t="s">
        <v>62</v>
      </c>
      <c r="I254" s="20" t="s">
        <v>412</v>
      </c>
      <c r="J254" s="19" t="s">
        <v>417</v>
      </c>
      <c r="K254" s="16" t="s">
        <v>18</v>
      </c>
      <c r="L254" s="19">
        <v>3</v>
      </c>
      <c r="M254" s="21" t="str">
        <f t="shared" si="0"/>
        <v/>
      </c>
      <c r="N254" s="21" t="str">
        <f t="shared" si="1"/>
        <v/>
      </c>
      <c r="O254" s="34" t="str">
        <f t="shared" si="2"/>
        <v>X</v>
      </c>
    </row>
    <row r="255" spans="1:15" ht="14.25" customHeight="1" x14ac:dyDescent="0.55000000000000004">
      <c r="A255" s="16" t="s">
        <v>418</v>
      </c>
      <c r="B255" s="17">
        <v>251</v>
      </c>
      <c r="C255" s="17" t="s">
        <v>20</v>
      </c>
      <c r="D255" s="17" t="s">
        <v>20</v>
      </c>
      <c r="E255" s="17">
        <v>120</v>
      </c>
      <c r="F255" s="18" t="s">
        <v>29</v>
      </c>
      <c r="G255" s="19"/>
      <c r="H255" s="20" t="s">
        <v>12</v>
      </c>
      <c r="I255" s="20"/>
      <c r="J255" s="35" t="s">
        <v>419</v>
      </c>
      <c r="K255" s="16" t="s">
        <v>18</v>
      </c>
      <c r="L255" s="19">
        <v>3</v>
      </c>
      <c r="M255" s="21" t="str">
        <f t="shared" si="0"/>
        <v/>
      </c>
      <c r="N255" s="21" t="str">
        <f t="shared" si="1"/>
        <v/>
      </c>
      <c r="O255" s="34" t="str">
        <f t="shared" si="2"/>
        <v>X</v>
      </c>
    </row>
    <row r="256" spans="1:15" ht="14.25" customHeight="1" x14ac:dyDescent="0.55000000000000004">
      <c r="A256" s="16" t="s">
        <v>420</v>
      </c>
      <c r="B256" s="17">
        <v>252</v>
      </c>
      <c r="C256" s="17" t="s">
        <v>20</v>
      </c>
      <c r="D256" s="17" t="s">
        <v>20</v>
      </c>
      <c r="E256" s="17">
        <v>150</v>
      </c>
      <c r="F256" s="18" t="s">
        <v>29</v>
      </c>
      <c r="G256" s="19"/>
      <c r="H256" s="20" t="s">
        <v>12</v>
      </c>
      <c r="I256" s="20"/>
      <c r="J256" s="35" t="s">
        <v>421</v>
      </c>
      <c r="K256" s="16" t="s">
        <v>18</v>
      </c>
      <c r="L256" s="19">
        <v>3</v>
      </c>
      <c r="M256" s="21" t="str">
        <f t="shared" si="0"/>
        <v/>
      </c>
      <c r="N256" s="21" t="str">
        <f t="shared" si="1"/>
        <v/>
      </c>
      <c r="O256" s="34" t="str">
        <f t="shared" si="2"/>
        <v>X</v>
      </c>
    </row>
    <row r="257" spans="1:15" ht="14.25" customHeight="1" x14ac:dyDescent="0.55000000000000004">
      <c r="A257" s="16" t="s">
        <v>422</v>
      </c>
      <c r="B257" s="17">
        <v>253</v>
      </c>
      <c r="C257" s="17" t="s">
        <v>20</v>
      </c>
      <c r="D257" s="17" t="s">
        <v>20</v>
      </c>
      <c r="E257" s="17">
        <v>150</v>
      </c>
      <c r="F257" s="18" t="s">
        <v>29</v>
      </c>
      <c r="G257" s="19"/>
      <c r="H257" s="20" t="s">
        <v>12</v>
      </c>
      <c r="I257" s="20"/>
      <c r="J257" s="19" t="s">
        <v>70</v>
      </c>
      <c r="K257" s="16" t="s">
        <v>18</v>
      </c>
      <c r="L257" s="19">
        <v>3</v>
      </c>
      <c r="M257" s="21" t="str">
        <f t="shared" si="0"/>
        <v/>
      </c>
      <c r="N257" s="21" t="str">
        <f t="shared" si="1"/>
        <v/>
      </c>
      <c r="O257" s="34" t="str">
        <f t="shared" si="2"/>
        <v>X</v>
      </c>
    </row>
    <row r="258" spans="1:15" ht="14.25" customHeight="1" x14ac:dyDescent="0.55000000000000004">
      <c r="A258" s="16" t="s">
        <v>423</v>
      </c>
      <c r="B258" s="17">
        <v>254</v>
      </c>
      <c r="C258" s="17" t="s">
        <v>20</v>
      </c>
      <c r="D258" s="17" t="s">
        <v>20</v>
      </c>
      <c r="E258" s="17">
        <v>40</v>
      </c>
      <c r="F258" s="18" t="s">
        <v>29</v>
      </c>
      <c r="G258" s="19"/>
      <c r="H258" s="20" t="s">
        <v>12</v>
      </c>
      <c r="I258" s="20"/>
      <c r="J258" s="35" t="s">
        <v>424</v>
      </c>
      <c r="K258" s="16" t="s">
        <v>18</v>
      </c>
      <c r="L258" s="19">
        <v>3</v>
      </c>
      <c r="M258" s="21" t="str">
        <f t="shared" si="0"/>
        <v/>
      </c>
      <c r="N258" s="21" t="str">
        <f t="shared" si="1"/>
        <v/>
      </c>
      <c r="O258" s="34" t="str">
        <f t="shared" si="2"/>
        <v>X</v>
      </c>
    </row>
    <row r="259" spans="1:15" ht="14.25" customHeight="1" x14ac:dyDescent="0.55000000000000004">
      <c r="A259" s="16" t="s">
        <v>425</v>
      </c>
      <c r="B259" s="17">
        <v>255</v>
      </c>
      <c r="C259" s="17" t="s">
        <v>20</v>
      </c>
      <c r="D259" s="17" t="s">
        <v>20</v>
      </c>
      <c r="E259" s="17">
        <v>55</v>
      </c>
      <c r="F259" s="18" t="s">
        <v>29</v>
      </c>
      <c r="G259" s="19"/>
      <c r="H259" s="20" t="s">
        <v>30</v>
      </c>
      <c r="I259" s="20" t="s">
        <v>74</v>
      </c>
      <c r="J259" s="19" t="s">
        <v>426</v>
      </c>
      <c r="K259" s="16" t="s">
        <v>18</v>
      </c>
      <c r="L259" s="19">
        <v>3</v>
      </c>
      <c r="M259" s="21" t="str">
        <f t="shared" si="0"/>
        <v/>
      </c>
      <c r="N259" s="21" t="str">
        <f t="shared" si="1"/>
        <v/>
      </c>
      <c r="O259" s="34" t="str">
        <f t="shared" si="2"/>
        <v>X</v>
      </c>
    </row>
    <row r="260" spans="1:15" ht="14.25" customHeight="1" x14ac:dyDescent="0.55000000000000004">
      <c r="A260" s="16" t="s">
        <v>427</v>
      </c>
      <c r="B260" s="17">
        <v>256</v>
      </c>
      <c r="C260" s="17" t="s">
        <v>20</v>
      </c>
      <c r="D260" s="17" t="s">
        <v>20</v>
      </c>
      <c r="E260" s="17">
        <v>50</v>
      </c>
      <c r="F260" s="18" t="s">
        <v>29</v>
      </c>
      <c r="G260" s="19"/>
      <c r="H260" s="20" t="s">
        <v>30</v>
      </c>
      <c r="I260" s="20" t="s">
        <v>77</v>
      </c>
      <c r="J260" s="35" t="s">
        <v>428</v>
      </c>
      <c r="K260" s="16" t="s">
        <v>18</v>
      </c>
      <c r="L260" s="19">
        <v>3</v>
      </c>
      <c r="M260" s="21" t="str">
        <f t="shared" ref="M260:M372" si="5">IF(L260&lt;=1,"X","")</f>
        <v/>
      </c>
      <c r="N260" s="21" t="str">
        <f t="shared" ref="N260:N372" si="6">IF(L260&lt;=2,"X","")</f>
        <v/>
      </c>
      <c r="O260" s="34" t="str">
        <f t="shared" ref="O260:O372" si="7">IF(L260&lt;=3,"X","")</f>
        <v>X</v>
      </c>
    </row>
    <row r="261" spans="1:15" ht="14.25" customHeight="1" x14ac:dyDescent="0.55000000000000004">
      <c r="A261" s="16" t="s">
        <v>429</v>
      </c>
      <c r="B261" s="17">
        <v>257</v>
      </c>
      <c r="C261" s="17" t="s">
        <v>20</v>
      </c>
      <c r="D261" s="17" t="s">
        <v>79</v>
      </c>
      <c r="E261" s="17">
        <v>4</v>
      </c>
      <c r="F261" s="18" t="s">
        <v>29</v>
      </c>
      <c r="G261" s="19"/>
      <c r="H261" s="20" t="s">
        <v>30</v>
      </c>
      <c r="I261" s="20"/>
      <c r="J261" s="35" t="s">
        <v>430</v>
      </c>
      <c r="K261" s="16" t="s">
        <v>18</v>
      </c>
      <c r="L261" s="19">
        <v>3</v>
      </c>
      <c r="M261" s="21" t="str">
        <f t="shared" si="5"/>
        <v/>
      </c>
      <c r="N261" s="47" t="str">
        <f t="shared" si="6"/>
        <v/>
      </c>
      <c r="O261" s="48" t="str">
        <f t="shared" si="7"/>
        <v>X</v>
      </c>
    </row>
    <row r="262" spans="1:15" ht="14.25" customHeight="1" x14ac:dyDescent="0.55000000000000004">
      <c r="A262" s="16" t="s">
        <v>431</v>
      </c>
      <c r="B262" s="17">
        <v>258</v>
      </c>
      <c r="C262" s="17" t="s">
        <v>20</v>
      </c>
      <c r="D262" s="17" t="s">
        <v>20</v>
      </c>
      <c r="E262" s="17">
        <v>3</v>
      </c>
      <c r="F262" s="18" t="s">
        <v>29</v>
      </c>
      <c r="G262" s="19"/>
      <c r="H262" s="20" t="s">
        <v>12</v>
      </c>
      <c r="I262" s="20"/>
      <c r="J262" s="35" t="s">
        <v>83</v>
      </c>
      <c r="K262" s="16" t="s">
        <v>18</v>
      </c>
      <c r="L262" s="19">
        <v>3</v>
      </c>
      <c r="M262" s="21" t="str">
        <f t="shared" si="5"/>
        <v/>
      </c>
      <c r="N262" s="21" t="str">
        <f t="shared" si="6"/>
        <v/>
      </c>
      <c r="O262" s="34" t="str">
        <f t="shared" si="7"/>
        <v>X</v>
      </c>
    </row>
    <row r="263" spans="1:15" ht="14.25" customHeight="1" x14ac:dyDescent="0.55000000000000004">
      <c r="A263" s="16" t="s">
        <v>432</v>
      </c>
      <c r="B263" s="17">
        <v>259</v>
      </c>
      <c r="C263" s="17" t="s">
        <v>20</v>
      </c>
      <c r="D263" s="17" t="s">
        <v>20</v>
      </c>
      <c r="E263" s="17">
        <v>65</v>
      </c>
      <c r="F263" s="18" t="s">
        <v>29</v>
      </c>
      <c r="G263" s="19"/>
      <c r="H263" s="20" t="s">
        <v>12</v>
      </c>
      <c r="I263" s="20"/>
      <c r="J263" s="19" t="s">
        <v>153</v>
      </c>
      <c r="K263" s="16" t="s">
        <v>17</v>
      </c>
      <c r="L263" s="19">
        <f t="shared" ref="L263:L287" si="8">IF(K263="Public",1,IF(K263="FOUO (CUI)",2,IF(K263="Sensitive (CUI)",3,IF(K263="System-Only",4))))</f>
        <v>2</v>
      </c>
      <c r="M263" s="21" t="str">
        <f t="shared" si="5"/>
        <v/>
      </c>
      <c r="N263" s="21" t="str">
        <f t="shared" si="6"/>
        <v>X</v>
      </c>
      <c r="O263" s="34" t="str">
        <f t="shared" si="7"/>
        <v>X</v>
      </c>
    </row>
    <row r="264" spans="1:15" ht="14.25" customHeight="1" x14ac:dyDescent="0.55000000000000004">
      <c r="A264" s="16" t="s">
        <v>433</v>
      </c>
      <c r="B264" s="17">
        <v>260</v>
      </c>
      <c r="C264" s="17" t="s">
        <v>20</v>
      </c>
      <c r="D264" s="17" t="s">
        <v>20</v>
      </c>
      <c r="E264" s="17">
        <v>3</v>
      </c>
      <c r="F264" s="18" t="s">
        <v>29</v>
      </c>
      <c r="G264" s="19"/>
      <c r="H264" s="20" t="s">
        <v>30</v>
      </c>
      <c r="I264" s="20"/>
      <c r="J264" s="19" t="s">
        <v>42</v>
      </c>
      <c r="K264" s="16" t="s">
        <v>17</v>
      </c>
      <c r="L264" s="19">
        <f t="shared" si="8"/>
        <v>2</v>
      </c>
      <c r="M264" s="21" t="str">
        <f t="shared" si="5"/>
        <v/>
      </c>
      <c r="N264" s="21" t="str">
        <f t="shared" si="6"/>
        <v>X</v>
      </c>
      <c r="O264" s="34" t="str">
        <f t="shared" si="7"/>
        <v>X</v>
      </c>
    </row>
    <row r="265" spans="1:15" ht="14.25" customHeight="1" x14ac:dyDescent="0.55000000000000004">
      <c r="A265" s="16" t="s">
        <v>434</v>
      </c>
      <c r="B265" s="17">
        <v>261</v>
      </c>
      <c r="C265" s="17" t="s">
        <v>20</v>
      </c>
      <c r="D265" s="17" t="s">
        <v>20</v>
      </c>
      <c r="E265" s="17">
        <v>65</v>
      </c>
      <c r="F265" s="18" t="s">
        <v>29</v>
      </c>
      <c r="G265" s="19"/>
      <c r="H265" s="20" t="s">
        <v>12</v>
      </c>
      <c r="I265" s="20"/>
      <c r="J265" s="19" t="s">
        <v>156</v>
      </c>
      <c r="K265" s="16" t="s">
        <v>17</v>
      </c>
      <c r="L265" s="19">
        <f t="shared" si="8"/>
        <v>2</v>
      </c>
      <c r="M265" s="21" t="str">
        <f t="shared" si="5"/>
        <v/>
      </c>
      <c r="N265" s="21" t="str">
        <f t="shared" si="6"/>
        <v>X</v>
      </c>
      <c r="O265" s="34" t="str">
        <f t="shared" si="7"/>
        <v>X</v>
      </c>
    </row>
    <row r="266" spans="1:15" ht="14.25" customHeight="1" x14ac:dyDescent="0.55000000000000004">
      <c r="A266" s="16" t="s">
        <v>435</v>
      </c>
      <c r="B266" s="17">
        <v>262</v>
      </c>
      <c r="C266" s="17" t="s">
        <v>20</v>
      </c>
      <c r="D266" s="17" t="s">
        <v>20</v>
      </c>
      <c r="E266" s="17">
        <v>50</v>
      </c>
      <c r="F266" s="18" t="s">
        <v>29</v>
      </c>
      <c r="G266" s="19"/>
      <c r="H266" s="20" t="s">
        <v>30</v>
      </c>
      <c r="I266" s="20"/>
      <c r="J266" s="19" t="s">
        <v>158</v>
      </c>
      <c r="K266" s="16" t="s">
        <v>17</v>
      </c>
      <c r="L266" s="19">
        <f t="shared" si="8"/>
        <v>2</v>
      </c>
      <c r="M266" s="21" t="str">
        <f t="shared" si="5"/>
        <v/>
      </c>
      <c r="N266" s="21" t="str">
        <f t="shared" si="6"/>
        <v>X</v>
      </c>
      <c r="O266" s="34" t="str">
        <f t="shared" si="7"/>
        <v>X</v>
      </c>
    </row>
    <row r="267" spans="1:15" ht="14.25" customHeight="1" x14ac:dyDescent="0.55000000000000004">
      <c r="A267" s="16" t="s">
        <v>436</v>
      </c>
      <c r="B267" s="17">
        <v>263</v>
      </c>
      <c r="C267" s="17" t="s">
        <v>20</v>
      </c>
      <c r="D267" s="17" t="s">
        <v>79</v>
      </c>
      <c r="E267" s="17">
        <v>30</v>
      </c>
      <c r="F267" s="18" t="s">
        <v>29</v>
      </c>
      <c r="G267" s="19"/>
      <c r="H267" s="20" t="s">
        <v>30</v>
      </c>
      <c r="I267" s="20" t="s">
        <v>77</v>
      </c>
      <c r="J267" s="19" t="s">
        <v>173</v>
      </c>
      <c r="K267" s="16" t="s">
        <v>17</v>
      </c>
      <c r="L267" s="19">
        <f t="shared" si="8"/>
        <v>2</v>
      </c>
      <c r="M267" s="21" t="str">
        <f t="shared" si="5"/>
        <v/>
      </c>
      <c r="N267" s="21" t="str">
        <f t="shared" si="6"/>
        <v>X</v>
      </c>
      <c r="O267" s="34" t="str">
        <f t="shared" si="7"/>
        <v>X</v>
      </c>
    </row>
    <row r="268" spans="1:15" ht="14.25" customHeight="1" x14ac:dyDescent="0.55000000000000004">
      <c r="A268" s="16" t="s">
        <v>437</v>
      </c>
      <c r="B268" s="17">
        <v>264</v>
      </c>
      <c r="C268" s="17" t="s">
        <v>20</v>
      </c>
      <c r="D268" s="17" t="s">
        <v>20</v>
      </c>
      <c r="E268" s="17">
        <v>25</v>
      </c>
      <c r="F268" s="18" t="s">
        <v>29</v>
      </c>
      <c r="G268" s="19"/>
      <c r="H268" s="20" t="s">
        <v>30</v>
      </c>
      <c r="I268" s="20"/>
      <c r="J268" s="19" t="s">
        <v>175</v>
      </c>
      <c r="K268" s="16" t="s">
        <v>17</v>
      </c>
      <c r="L268" s="19">
        <f t="shared" si="8"/>
        <v>2</v>
      </c>
      <c r="M268" s="21" t="str">
        <f t="shared" si="5"/>
        <v/>
      </c>
      <c r="N268" s="21" t="str">
        <f t="shared" si="6"/>
        <v>X</v>
      </c>
      <c r="O268" s="34" t="str">
        <f t="shared" si="7"/>
        <v>X</v>
      </c>
    </row>
    <row r="269" spans="1:15" ht="14.25" customHeight="1" x14ac:dyDescent="0.55000000000000004">
      <c r="A269" s="16" t="s">
        <v>438</v>
      </c>
      <c r="B269" s="17">
        <v>265</v>
      </c>
      <c r="C269" s="17" t="s">
        <v>20</v>
      </c>
      <c r="D269" s="17" t="s">
        <v>20</v>
      </c>
      <c r="E269" s="17">
        <v>30</v>
      </c>
      <c r="F269" s="18" t="s">
        <v>29</v>
      </c>
      <c r="G269" s="19"/>
      <c r="H269" s="20" t="s">
        <v>30</v>
      </c>
      <c r="I269" s="20" t="s">
        <v>177</v>
      </c>
      <c r="J269" s="19" t="s">
        <v>178</v>
      </c>
      <c r="K269" s="16" t="s">
        <v>17</v>
      </c>
      <c r="L269" s="19">
        <f t="shared" si="8"/>
        <v>2</v>
      </c>
      <c r="M269" s="21" t="str">
        <f t="shared" si="5"/>
        <v/>
      </c>
      <c r="N269" s="21" t="str">
        <f t="shared" si="6"/>
        <v>X</v>
      </c>
      <c r="O269" s="34" t="str">
        <f t="shared" si="7"/>
        <v>X</v>
      </c>
    </row>
    <row r="270" spans="1:15" ht="14.25" customHeight="1" x14ac:dyDescent="0.55000000000000004">
      <c r="A270" s="16" t="s">
        <v>439</v>
      </c>
      <c r="B270" s="17">
        <v>266</v>
      </c>
      <c r="C270" s="17" t="s">
        <v>20</v>
      </c>
      <c r="D270" s="17" t="s">
        <v>20</v>
      </c>
      <c r="E270" s="17">
        <v>30</v>
      </c>
      <c r="F270" s="18" t="s">
        <v>29</v>
      </c>
      <c r="G270" s="19"/>
      <c r="H270" s="20" t="s">
        <v>30</v>
      </c>
      <c r="I270" s="20"/>
      <c r="J270" s="19" t="s">
        <v>180</v>
      </c>
      <c r="K270" s="16" t="s">
        <v>17</v>
      </c>
      <c r="L270" s="19">
        <f t="shared" si="8"/>
        <v>2</v>
      </c>
      <c r="M270" s="21" t="str">
        <f t="shared" si="5"/>
        <v/>
      </c>
      <c r="N270" s="21" t="str">
        <f t="shared" si="6"/>
        <v>X</v>
      </c>
      <c r="O270" s="34" t="str">
        <f t="shared" si="7"/>
        <v>X</v>
      </c>
    </row>
    <row r="271" spans="1:15" ht="14.25" customHeight="1" x14ac:dyDescent="0.55000000000000004">
      <c r="A271" s="16" t="s">
        <v>440</v>
      </c>
      <c r="B271" s="17">
        <v>267</v>
      </c>
      <c r="C271" s="17" t="s">
        <v>20</v>
      </c>
      <c r="D271" s="17" t="s">
        <v>20</v>
      </c>
      <c r="E271" s="17">
        <v>80</v>
      </c>
      <c r="F271" s="18" t="s">
        <v>29</v>
      </c>
      <c r="G271" s="19"/>
      <c r="H271" s="20" t="s">
        <v>12</v>
      </c>
      <c r="I271" s="20"/>
      <c r="J271" s="19" t="s">
        <v>182</v>
      </c>
      <c r="K271" s="16" t="s">
        <v>17</v>
      </c>
      <c r="L271" s="19">
        <f t="shared" si="8"/>
        <v>2</v>
      </c>
      <c r="M271" s="21" t="str">
        <f t="shared" si="5"/>
        <v/>
      </c>
      <c r="N271" s="21" t="str">
        <f t="shared" si="6"/>
        <v>X</v>
      </c>
      <c r="O271" s="34" t="str">
        <f t="shared" si="7"/>
        <v>X</v>
      </c>
    </row>
    <row r="272" spans="1:15" ht="14.25" customHeight="1" x14ac:dyDescent="0.55000000000000004">
      <c r="A272" s="16" t="s">
        <v>441</v>
      </c>
      <c r="B272" s="17">
        <v>268</v>
      </c>
      <c r="C272" s="17" t="s">
        <v>20</v>
      </c>
      <c r="D272" s="17" t="s">
        <v>20</v>
      </c>
      <c r="E272" s="17">
        <v>65</v>
      </c>
      <c r="F272" s="18" t="s">
        <v>29</v>
      </c>
      <c r="G272" s="19"/>
      <c r="H272" s="20" t="s">
        <v>36</v>
      </c>
      <c r="I272" s="20"/>
      <c r="J272" s="19" t="s">
        <v>153</v>
      </c>
      <c r="K272" s="16" t="s">
        <v>17</v>
      </c>
      <c r="L272" s="19">
        <f t="shared" si="8"/>
        <v>2</v>
      </c>
      <c r="M272" s="21" t="str">
        <f t="shared" si="5"/>
        <v/>
      </c>
      <c r="N272" s="21" t="str">
        <f t="shared" si="6"/>
        <v>X</v>
      </c>
      <c r="O272" s="34" t="str">
        <f t="shared" si="7"/>
        <v>X</v>
      </c>
    </row>
    <row r="273" spans="1:15" ht="14.25" customHeight="1" x14ac:dyDescent="0.55000000000000004">
      <c r="A273" s="16" t="s">
        <v>442</v>
      </c>
      <c r="B273" s="17">
        <v>269</v>
      </c>
      <c r="C273" s="17" t="s">
        <v>20</v>
      </c>
      <c r="D273" s="17" t="s">
        <v>20</v>
      </c>
      <c r="E273" s="17">
        <v>3</v>
      </c>
      <c r="F273" s="18" t="s">
        <v>29</v>
      </c>
      <c r="G273" s="19"/>
      <c r="H273" s="20" t="s">
        <v>36</v>
      </c>
      <c r="I273" s="20"/>
      <c r="J273" s="19" t="s">
        <v>42</v>
      </c>
      <c r="K273" s="16" t="s">
        <v>17</v>
      </c>
      <c r="L273" s="19">
        <f t="shared" si="8"/>
        <v>2</v>
      </c>
      <c r="M273" s="21" t="str">
        <f t="shared" si="5"/>
        <v/>
      </c>
      <c r="N273" s="21" t="str">
        <f t="shared" si="6"/>
        <v>X</v>
      </c>
      <c r="O273" s="34" t="str">
        <f t="shared" si="7"/>
        <v>X</v>
      </c>
    </row>
    <row r="274" spans="1:15" ht="14.25" customHeight="1" x14ac:dyDescent="0.55000000000000004">
      <c r="A274" s="16" t="s">
        <v>443</v>
      </c>
      <c r="B274" s="17">
        <v>270</v>
      </c>
      <c r="C274" s="17" t="s">
        <v>20</v>
      </c>
      <c r="D274" s="17" t="s">
        <v>20</v>
      </c>
      <c r="E274" s="17">
        <v>65</v>
      </c>
      <c r="F274" s="18" t="s">
        <v>29</v>
      </c>
      <c r="G274" s="19"/>
      <c r="H274" s="20" t="s">
        <v>36</v>
      </c>
      <c r="I274" s="20"/>
      <c r="J274" s="19" t="s">
        <v>156</v>
      </c>
      <c r="K274" s="16" t="s">
        <v>17</v>
      </c>
      <c r="L274" s="19">
        <f t="shared" si="8"/>
        <v>2</v>
      </c>
      <c r="M274" s="21" t="str">
        <f t="shared" si="5"/>
        <v/>
      </c>
      <c r="N274" s="21" t="str">
        <f t="shared" si="6"/>
        <v>X</v>
      </c>
      <c r="O274" s="34" t="str">
        <f t="shared" si="7"/>
        <v>X</v>
      </c>
    </row>
    <row r="275" spans="1:15" ht="14.25" customHeight="1" x14ac:dyDescent="0.55000000000000004">
      <c r="A275" s="16" t="s">
        <v>444</v>
      </c>
      <c r="B275" s="17">
        <v>271</v>
      </c>
      <c r="C275" s="17" t="s">
        <v>20</v>
      </c>
      <c r="D275" s="17" t="s">
        <v>20</v>
      </c>
      <c r="E275" s="17">
        <v>50</v>
      </c>
      <c r="F275" s="18" t="s">
        <v>29</v>
      </c>
      <c r="G275" s="19"/>
      <c r="H275" s="20" t="s">
        <v>36</v>
      </c>
      <c r="I275" s="20"/>
      <c r="J275" s="19" t="s">
        <v>158</v>
      </c>
      <c r="K275" s="16" t="s">
        <v>17</v>
      </c>
      <c r="L275" s="19">
        <f t="shared" si="8"/>
        <v>2</v>
      </c>
      <c r="M275" s="21" t="str">
        <f t="shared" si="5"/>
        <v/>
      </c>
      <c r="N275" s="21" t="str">
        <f t="shared" si="6"/>
        <v>X</v>
      </c>
      <c r="O275" s="34" t="str">
        <f t="shared" si="7"/>
        <v>X</v>
      </c>
    </row>
    <row r="276" spans="1:15" ht="14.25" customHeight="1" x14ac:dyDescent="0.55000000000000004">
      <c r="A276" s="16" t="s">
        <v>445</v>
      </c>
      <c r="B276" s="17">
        <v>272</v>
      </c>
      <c r="C276" s="17" t="s">
        <v>20</v>
      </c>
      <c r="D276" s="17" t="s">
        <v>20</v>
      </c>
      <c r="E276" s="17">
        <v>150</v>
      </c>
      <c r="F276" s="18" t="s">
        <v>29</v>
      </c>
      <c r="G276" s="19"/>
      <c r="H276" s="20" t="s">
        <v>36</v>
      </c>
      <c r="I276" s="20"/>
      <c r="J276" s="19" t="s">
        <v>160</v>
      </c>
      <c r="K276" s="16" t="s">
        <v>17</v>
      </c>
      <c r="L276" s="19">
        <f t="shared" si="8"/>
        <v>2</v>
      </c>
      <c r="M276" s="21" t="str">
        <f t="shared" si="5"/>
        <v/>
      </c>
      <c r="N276" s="21" t="str">
        <f t="shared" si="6"/>
        <v>X</v>
      </c>
      <c r="O276" s="34" t="str">
        <f t="shared" si="7"/>
        <v>X</v>
      </c>
    </row>
    <row r="277" spans="1:15" ht="14.25" customHeight="1" x14ac:dyDescent="0.55000000000000004">
      <c r="A277" s="16" t="s">
        <v>446</v>
      </c>
      <c r="B277" s="17">
        <v>273</v>
      </c>
      <c r="C277" s="17" t="s">
        <v>20</v>
      </c>
      <c r="D277" s="17" t="s">
        <v>20</v>
      </c>
      <c r="E277" s="17">
        <v>150</v>
      </c>
      <c r="F277" s="18" t="s">
        <v>29</v>
      </c>
      <c r="G277" s="19"/>
      <c r="H277" s="20" t="s">
        <v>36</v>
      </c>
      <c r="I277" s="20"/>
      <c r="J277" s="19" t="s">
        <v>162</v>
      </c>
      <c r="K277" s="16" t="s">
        <v>17</v>
      </c>
      <c r="L277" s="19">
        <f t="shared" si="8"/>
        <v>2</v>
      </c>
      <c r="M277" s="21" t="str">
        <f t="shared" si="5"/>
        <v/>
      </c>
      <c r="N277" s="21" t="str">
        <f t="shared" si="6"/>
        <v>X</v>
      </c>
      <c r="O277" s="34" t="str">
        <f t="shared" si="7"/>
        <v>X</v>
      </c>
    </row>
    <row r="278" spans="1:15" ht="14.25" customHeight="1" x14ac:dyDescent="0.55000000000000004">
      <c r="A278" s="16" t="s">
        <v>447</v>
      </c>
      <c r="B278" s="17">
        <v>274</v>
      </c>
      <c r="C278" s="17" t="s">
        <v>20</v>
      </c>
      <c r="D278" s="17" t="s">
        <v>20</v>
      </c>
      <c r="E278" s="17">
        <v>40</v>
      </c>
      <c r="F278" s="18" t="s">
        <v>29</v>
      </c>
      <c r="G278" s="19"/>
      <c r="H278" s="20" t="s">
        <v>36</v>
      </c>
      <c r="I278" s="20"/>
      <c r="J278" s="19" t="s">
        <v>164</v>
      </c>
      <c r="K278" s="16" t="s">
        <v>17</v>
      </c>
      <c r="L278" s="19">
        <f t="shared" si="8"/>
        <v>2</v>
      </c>
      <c r="M278" s="21" t="str">
        <f t="shared" si="5"/>
        <v/>
      </c>
      <c r="N278" s="21" t="str">
        <f t="shared" si="6"/>
        <v>X</v>
      </c>
      <c r="O278" s="34" t="str">
        <f t="shared" si="7"/>
        <v>X</v>
      </c>
    </row>
    <row r="279" spans="1:15" ht="14.25" customHeight="1" x14ac:dyDescent="0.55000000000000004">
      <c r="A279" s="16" t="s">
        <v>448</v>
      </c>
      <c r="B279" s="17">
        <v>275</v>
      </c>
      <c r="C279" s="17" t="s">
        <v>20</v>
      </c>
      <c r="D279" s="17" t="s">
        <v>20</v>
      </c>
      <c r="E279" s="17">
        <v>50</v>
      </c>
      <c r="F279" s="18" t="s">
        <v>29</v>
      </c>
      <c r="G279" s="19"/>
      <c r="H279" s="20" t="s">
        <v>36</v>
      </c>
      <c r="I279" s="20" t="s">
        <v>77</v>
      </c>
      <c r="J279" s="19" t="s">
        <v>166</v>
      </c>
      <c r="K279" s="16" t="s">
        <v>17</v>
      </c>
      <c r="L279" s="19">
        <f t="shared" si="8"/>
        <v>2</v>
      </c>
      <c r="M279" s="21" t="str">
        <f t="shared" si="5"/>
        <v/>
      </c>
      <c r="N279" s="21" t="str">
        <f t="shared" si="6"/>
        <v>X</v>
      </c>
      <c r="O279" s="34" t="str">
        <f t="shared" si="7"/>
        <v>X</v>
      </c>
    </row>
    <row r="280" spans="1:15" ht="14.25" customHeight="1" x14ac:dyDescent="0.55000000000000004">
      <c r="A280" s="16" t="s">
        <v>449</v>
      </c>
      <c r="B280" s="17">
        <v>276</v>
      </c>
      <c r="C280" s="17" t="s">
        <v>20</v>
      </c>
      <c r="D280" s="17" t="s">
        <v>79</v>
      </c>
      <c r="E280" s="17">
        <v>4</v>
      </c>
      <c r="F280" s="18" t="s">
        <v>29</v>
      </c>
      <c r="G280" s="19"/>
      <c r="H280" s="20" t="s">
        <v>36</v>
      </c>
      <c r="I280" s="20" t="s">
        <v>77</v>
      </c>
      <c r="J280" s="19" t="s">
        <v>168</v>
      </c>
      <c r="K280" s="16" t="s">
        <v>17</v>
      </c>
      <c r="L280" s="19">
        <f t="shared" si="8"/>
        <v>2</v>
      </c>
      <c r="M280" s="21" t="str">
        <f t="shared" si="5"/>
        <v/>
      </c>
      <c r="N280" s="21" t="str">
        <f t="shared" si="6"/>
        <v>X</v>
      </c>
      <c r="O280" s="34" t="str">
        <f t="shared" si="7"/>
        <v>X</v>
      </c>
    </row>
    <row r="281" spans="1:15" ht="14.25" customHeight="1" x14ac:dyDescent="0.55000000000000004">
      <c r="A281" s="16" t="s">
        <v>450</v>
      </c>
      <c r="B281" s="17">
        <v>277</v>
      </c>
      <c r="C281" s="17" t="s">
        <v>20</v>
      </c>
      <c r="D281" s="17" t="s">
        <v>20</v>
      </c>
      <c r="E281" s="17">
        <v>3</v>
      </c>
      <c r="F281" s="18" t="s">
        <v>29</v>
      </c>
      <c r="G281" s="19"/>
      <c r="H281" s="20" t="s">
        <v>36</v>
      </c>
      <c r="I281" s="20"/>
      <c r="J281" s="19" t="s">
        <v>83</v>
      </c>
      <c r="K281" s="16" t="s">
        <v>17</v>
      </c>
      <c r="L281" s="19">
        <f t="shared" si="8"/>
        <v>2</v>
      </c>
      <c r="M281" s="21" t="str">
        <f t="shared" si="5"/>
        <v/>
      </c>
      <c r="N281" s="21" t="str">
        <f t="shared" si="6"/>
        <v>X</v>
      </c>
      <c r="O281" s="34" t="str">
        <f t="shared" si="7"/>
        <v>X</v>
      </c>
    </row>
    <row r="282" spans="1:15" ht="14.25" customHeight="1" x14ac:dyDescent="0.55000000000000004">
      <c r="A282" s="16" t="s">
        <v>451</v>
      </c>
      <c r="B282" s="17">
        <v>278</v>
      </c>
      <c r="C282" s="17" t="s">
        <v>20</v>
      </c>
      <c r="D282" s="17" t="s">
        <v>20</v>
      </c>
      <c r="E282" s="17">
        <v>55</v>
      </c>
      <c r="F282" s="18" t="s">
        <v>29</v>
      </c>
      <c r="G282" s="19"/>
      <c r="H282" s="20" t="s">
        <v>36</v>
      </c>
      <c r="I282" s="20" t="s">
        <v>74</v>
      </c>
      <c r="J282" s="19" t="s">
        <v>171</v>
      </c>
      <c r="K282" s="16" t="s">
        <v>17</v>
      </c>
      <c r="L282" s="19">
        <f t="shared" si="8"/>
        <v>2</v>
      </c>
      <c r="M282" s="21" t="str">
        <f t="shared" si="5"/>
        <v/>
      </c>
      <c r="N282" s="21" t="str">
        <f t="shared" si="6"/>
        <v>X</v>
      </c>
      <c r="O282" s="34" t="str">
        <f t="shared" si="7"/>
        <v>X</v>
      </c>
    </row>
    <row r="283" spans="1:15" ht="14.25" customHeight="1" x14ac:dyDescent="0.55000000000000004">
      <c r="A283" s="16" t="s">
        <v>452</v>
      </c>
      <c r="B283" s="17">
        <v>279</v>
      </c>
      <c r="C283" s="17" t="s">
        <v>20</v>
      </c>
      <c r="D283" s="17" t="s">
        <v>79</v>
      </c>
      <c r="E283" s="17">
        <v>30</v>
      </c>
      <c r="F283" s="18" t="s">
        <v>29</v>
      </c>
      <c r="G283" s="19"/>
      <c r="H283" s="20" t="s">
        <v>36</v>
      </c>
      <c r="I283" s="20" t="s">
        <v>77</v>
      </c>
      <c r="J283" s="19" t="s">
        <v>173</v>
      </c>
      <c r="K283" s="16" t="s">
        <v>17</v>
      </c>
      <c r="L283" s="19">
        <f t="shared" si="8"/>
        <v>2</v>
      </c>
      <c r="M283" s="21" t="str">
        <f t="shared" si="5"/>
        <v/>
      </c>
      <c r="N283" s="21" t="str">
        <f t="shared" si="6"/>
        <v>X</v>
      </c>
      <c r="O283" s="34" t="str">
        <f t="shared" si="7"/>
        <v>X</v>
      </c>
    </row>
    <row r="284" spans="1:15" ht="14.25" customHeight="1" x14ac:dyDescent="0.55000000000000004">
      <c r="A284" s="16" t="s">
        <v>453</v>
      </c>
      <c r="B284" s="17">
        <v>280</v>
      </c>
      <c r="C284" s="17" t="s">
        <v>20</v>
      </c>
      <c r="D284" s="17" t="s">
        <v>20</v>
      </c>
      <c r="E284" s="17">
        <v>25</v>
      </c>
      <c r="F284" s="18" t="s">
        <v>29</v>
      </c>
      <c r="G284" s="19"/>
      <c r="H284" s="20" t="s">
        <v>36</v>
      </c>
      <c r="I284" s="20"/>
      <c r="J284" s="19" t="s">
        <v>175</v>
      </c>
      <c r="K284" s="16" t="s">
        <v>17</v>
      </c>
      <c r="L284" s="19">
        <f t="shared" si="8"/>
        <v>2</v>
      </c>
      <c r="M284" s="21" t="str">
        <f t="shared" si="5"/>
        <v/>
      </c>
      <c r="N284" s="21" t="str">
        <f t="shared" si="6"/>
        <v>X</v>
      </c>
      <c r="O284" s="34" t="str">
        <f t="shared" si="7"/>
        <v>X</v>
      </c>
    </row>
    <row r="285" spans="1:15" ht="14.25" customHeight="1" x14ac:dyDescent="0.55000000000000004">
      <c r="A285" s="16" t="s">
        <v>454</v>
      </c>
      <c r="B285" s="17">
        <v>281</v>
      </c>
      <c r="C285" s="17" t="s">
        <v>20</v>
      </c>
      <c r="D285" s="17" t="s">
        <v>20</v>
      </c>
      <c r="E285" s="17">
        <v>30</v>
      </c>
      <c r="F285" s="18" t="s">
        <v>29</v>
      </c>
      <c r="G285" s="19"/>
      <c r="H285" s="20" t="s">
        <v>36</v>
      </c>
      <c r="I285" s="20" t="s">
        <v>177</v>
      </c>
      <c r="J285" s="19" t="s">
        <v>178</v>
      </c>
      <c r="K285" s="16" t="s">
        <v>17</v>
      </c>
      <c r="L285" s="19">
        <f t="shared" si="8"/>
        <v>2</v>
      </c>
      <c r="M285" s="21" t="str">
        <f t="shared" si="5"/>
        <v/>
      </c>
      <c r="N285" s="21" t="str">
        <f t="shared" si="6"/>
        <v>X</v>
      </c>
      <c r="O285" s="34" t="str">
        <f t="shared" si="7"/>
        <v>X</v>
      </c>
    </row>
    <row r="286" spans="1:15" ht="14.25" customHeight="1" x14ac:dyDescent="0.55000000000000004">
      <c r="A286" s="16" t="s">
        <v>455</v>
      </c>
      <c r="B286" s="17">
        <v>282</v>
      </c>
      <c r="C286" s="17" t="s">
        <v>20</v>
      </c>
      <c r="D286" s="17" t="s">
        <v>20</v>
      </c>
      <c r="E286" s="17">
        <v>30</v>
      </c>
      <c r="F286" s="18" t="s">
        <v>29</v>
      </c>
      <c r="G286" s="19"/>
      <c r="H286" s="20" t="s">
        <v>36</v>
      </c>
      <c r="I286" s="20"/>
      <c r="J286" s="19" t="s">
        <v>180</v>
      </c>
      <c r="K286" s="16" t="s">
        <v>17</v>
      </c>
      <c r="L286" s="19">
        <f t="shared" si="8"/>
        <v>2</v>
      </c>
      <c r="M286" s="21" t="str">
        <f t="shared" si="5"/>
        <v/>
      </c>
      <c r="N286" s="21" t="str">
        <f t="shared" si="6"/>
        <v>X</v>
      </c>
      <c r="O286" s="34" t="str">
        <f t="shared" si="7"/>
        <v>X</v>
      </c>
    </row>
    <row r="287" spans="1:15" ht="14.25" customHeight="1" x14ac:dyDescent="0.55000000000000004">
      <c r="A287" s="16" t="s">
        <v>456</v>
      </c>
      <c r="B287" s="17">
        <v>283</v>
      </c>
      <c r="C287" s="17" t="s">
        <v>20</v>
      </c>
      <c r="D287" s="17" t="s">
        <v>20</v>
      </c>
      <c r="E287" s="17">
        <v>80</v>
      </c>
      <c r="F287" s="18" t="s">
        <v>29</v>
      </c>
      <c r="G287" s="19"/>
      <c r="H287" s="20" t="s">
        <v>36</v>
      </c>
      <c r="I287" s="20"/>
      <c r="J287" s="19" t="s">
        <v>182</v>
      </c>
      <c r="K287" s="16" t="s">
        <v>17</v>
      </c>
      <c r="L287" s="19">
        <f t="shared" si="8"/>
        <v>2</v>
      </c>
      <c r="M287" s="21" t="str">
        <f t="shared" si="5"/>
        <v/>
      </c>
      <c r="N287" s="21" t="str">
        <f t="shared" si="6"/>
        <v>X</v>
      </c>
      <c r="O287" s="34" t="str">
        <f t="shared" si="7"/>
        <v>X</v>
      </c>
    </row>
    <row r="288" spans="1:15" ht="14.25" customHeight="1" x14ac:dyDescent="0.55000000000000004">
      <c r="A288" s="16" t="s">
        <v>457</v>
      </c>
      <c r="B288" s="17">
        <v>284</v>
      </c>
      <c r="C288" s="17" t="s">
        <v>20</v>
      </c>
      <c r="D288" s="17" t="s">
        <v>20</v>
      </c>
      <c r="E288" s="17" t="s">
        <v>458</v>
      </c>
      <c r="F288" s="18" t="s">
        <v>459</v>
      </c>
      <c r="G288" s="19"/>
      <c r="H288" s="20" t="s">
        <v>30</v>
      </c>
      <c r="I288" s="20"/>
      <c r="J288" s="19" t="s">
        <v>460</v>
      </c>
      <c r="K288" s="16" t="s">
        <v>18</v>
      </c>
      <c r="L288" s="19">
        <v>3</v>
      </c>
      <c r="M288" s="21" t="str">
        <f t="shared" si="5"/>
        <v/>
      </c>
      <c r="N288" s="21" t="str">
        <f t="shared" si="6"/>
        <v/>
      </c>
      <c r="O288" s="34" t="str">
        <f t="shared" si="7"/>
        <v>X</v>
      </c>
    </row>
    <row r="289" spans="1:15" ht="29.25" customHeight="1" x14ac:dyDescent="0.55000000000000004">
      <c r="A289" s="16" t="s">
        <v>461</v>
      </c>
      <c r="B289" s="17">
        <v>285</v>
      </c>
      <c r="C289" s="17" t="s">
        <v>20</v>
      </c>
      <c r="D289" s="17" t="s">
        <v>79</v>
      </c>
      <c r="E289" s="17">
        <v>4</v>
      </c>
      <c r="F289" s="18" t="s">
        <v>462</v>
      </c>
      <c r="G289" s="19"/>
      <c r="H289" s="20" t="s">
        <v>12</v>
      </c>
      <c r="I289" s="20"/>
      <c r="J289" s="35" t="s">
        <v>463</v>
      </c>
      <c r="K289" s="16" t="s">
        <v>16</v>
      </c>
      <c r="L289" s="19">
        <f>IF(K289="Public",1,IF(K289="FOUO (CUI)",2,IF(K289="Sensitive (CUI)",3,IF(K289="System-Only",4))))</f>
        <v>1</v>
      </c>
      <c r="M289" s="21" t="str">
        <f t="shared" si="5"/>
        <v>X</v>
      </c>
      <c r="N289" s="21" t="str">
        <f t="shared" si="6"/>
        <v>X</v>
      </c>
      <c r="O289" s="34" t="str">
        <f t="shared" si="7"/>
        <v>X</v>
      </c>
    </row>
    <row r="290" spans="1:15" ht="55.5" customHeight="1" x14ac:dyDescent="0.55000000000000004">
      <c r="A290" s="16" t="s">
        <v>464</v>
      </c>
      <c r="B290" s="17">
        <v>286</v>
      </c>
      <c r="C290" s="17" t="s">
        <v>20</v>
      </c>
      <c r="D290" s="17" t="s">
        <v>110</v>
      </c>
      <c r="E290" s="17">
        <v>1100</v>
      </c>
      <c r="F290" s="18" t="s">
        <v>465</v>
      </c>
      <c r="G290" s="19" t="s">
        <v>112</v>
      </c>
      <c r="H290" s="20" t="s">
        <v>132</v>
      </c>
      <c r="I290" s="20" t="s">
        <v>113</v>
      </c>
      <c r="J290" s="35" t="s">
        <v>466</v>
      </c>
      <c r="K290" s="16" t="s">
        <v>16</v>
      </c>
      <c r="L290" s="19">
        <v>1</v>
      </c>
      <c r="M290" s="21" t="str">
        <f t="shared" si="5"/>
        <v>X</v>
      </c>
      <c r="N290" s="21" t="str">
        <f t="shared" si="6"/>
        <v>X</v>
      </c>
      <c r="O290" s="34" t="str">
        <f t="shared" si="7"/>
        <v>X</v>
      </c>
    </row>
    <row r="291" spans="1:15" ht="14.25" customHeight="1" x14ac:dyDescent="0.55000000000000004">
      <c r="A291" s="16" t="s">
        <v>467</v>
      </c>
      <c r="B291" s="17">
        <v>287</v>
      </c>
      <c r="C291" s="17" t="s">
        <v>20</v>
      </c>
      <c r="D291" s="17" t="s">
        <v>468</v>
      </c>
      <c r="E291" s="17">
        <v>1</v>
      </c>
      <c r="F291" s="18" t="s">
        <v>29</v>
      </c>
      <c r="G291" s="20" t="s">
        <v>469</v>
      </c>
      <c r="H291" s="20" t="s">
        <v>30</v>
      </c>
      <c r="I291" s="20" t="s">
        <v>470</v>
      </c>
      <c r="J291" s="19" t="s">
        <v>135</v>
      </c>
      <c r="K291" s="16" t="s">
        <v>16</v>
      </c>
      <c r="L291" s="19">
        <v>1</v>
      </c>
      <c r="M291" s="21" t="str">
        <f t="shared" si="5"/>
        <v>X</v>
      </c>
      <c r="N291" s="21" t="str">
        <f t="shared" si="6"/>
        <v>X</v>
      </c>
      <c r="O291" s="34" t="str">
        <f t="shared" si="7"/>
        <v>X</v>
      </c>
    </row>
    <row r="292" spans="1:15" ht="74.25" customHeight="1" x14ac:dyDescent="0.55000000000000004">
      <c r="A292" s="16" t="s">
        <v>471</v>
      </c>
      <c r="B292" s="17">
        <v>288</v>
      </c>
      <c r="C292" s="17" t="s">
        <v>20</v>
      </c>
      <c r="D292" s="17" t="s">
        <v>472</v>
      </c>
      <c r="E292" s="17">
        <v>1</v>
      </c>
      <c r="F292" s="18" t="s">
        <v>473</v>
      </c>
      <c r="G292" s="19"/>
      <c r="H292" s="20" t="s">
        <v>30</v>
      </c>
      <c r="I292" s="20"/>
      <c r="J292" s="19" t="s">
        <v>474</v>
      </c>
      <c r="K292" s="16" t="s">
        <v>16</v>
      </c>
      <c r="L292" s="19">
        <v>1</v>
      </c>
      <c r="M292" s="21" t="str">
        <f t="shared" si="5"/>
        <v>X</v>
      </c>
      <c r="N292" s="21" t="str">
        <f t="shared" si="6"/>
        <v>X</v>
      </c>
      <c r="O292" s="34" t="str">
        <f t="shared" si="7"/>
        <v>X</v>
      </c>
    </row>
    <row r="293" spans="1:15" ht="14.25" customHeight="1" x14ac:dyDescent="0.55000000000000004">
      <c r="A293" s="16" t="s">
        <v>475</v>
      </c>
      <c r="B293" s="17">
        <v>289</v>
      </c>
      <c r="C293" s="17" t="s">
        <v>20</v>
      </c>
      <c r="D293" s="17" t="s">
        <v>79</v>
      </c>
      <c r="E293" s="17">
        <v>4</v>
      </c>
      <c r="F293" s="18" t="s">
        <v>476</v>
      </c>
      <c r="G293" s="19"/>
      <c r="H293" s="20" t="s">
        <v>12</v>
      </c>
      <c r="I293" s="20"/>
      <c r="J293" s="35" t="s">
        <v>168</v>
      </c>
      <c r="K293" s="16" t="s">
        <v>16</v>
      </c>
      <c r="L293" s="19">
        <f>IF(K293="Public",1,IF(K293="FOUO (CUI)",2,IF(K293="Sensitive (CUI)",3,IF(K293="System-Only",4))))</f>
        <v>1</v>
      </c>
      <c r="M293" s="21" t="str">
        <f t="shared" si="5"/>
        <v>X</v>
      </c>
      <c r="N293" s="21" t="str">
        <f t="shared" si="6"/>
        <v>X</v>
      </c>
      <c r="O293" s="34" t="str">
        <f t="shared" si="7"/>
        <v>X</v>
      </c>
    </row>
    <row r="294" spans="1:15" ht="59.25" customHeight="1" x14ac:dyDescent="0.55000000000000004">
      <c r="A294" s="37" t="s">
        <v>477</v>
      </c>
      <c r="B294" s="17">
        <v>290</v>
      </c>
      <c r="C294" s="17" t="s">
        <v>20</v>
      </c>
      <c r="D294" s="17" t="s">
        <v>110</v>
      </c>
      <c r="E294" s="17">
        <v>125</v>
      </c>
      <c r="F294" s="18" t="s">
        <v>478</v>
      </c>
      <c r="G294" s="19" t="s">
        <v>112</v>
      </c>
      <c r="H294" s="20" t="s">
        <v>62</v>
      </c>
      <c r="I294" s="20" t="s">
        <v>113</v>
      </c>
      <c r="J294" s="19" t="s">
        <v>479</v>
      </c>
      <c r="K294" s="16" t="s">
        <v>16</v>
      </c>
      <c r="L294" s="19">
        <v>1</v>
      </c>
      <c r="M294" s="21" t="str">
        <f t="shared" si="5"/>
        <v>X</v>
      </c>
      <c r="N294" s="21" t="str">
        <f t="shared" si="6"/>
        <v>X</v>
      </c>
      <c r="O294" s="34" t="str">
        <f t="shared" si="7"/>
        <v>X</v>
      </c>
    </row>
    <row r="295" spans="1:15" ht="30.75" customHeight="1" x14ac:dyDescent="0.55000000000000004">
      <c r="A295" s="16" t="s">
        <v>480</v>
      </c>
      <c r="B295" s="17">
        <v>291</v>
      </c>
      <c r="C295" s="17" t="s">
        <v>20</v>
      </c>
      <c r="D295" s="17" t="s">
        <v>79</v>
      </c>
      <c r="E295" s="17">
        <v>4</v>
      </c>
      <c r="F295" s="18" t="s">
        <v>481</v>
      </c>
      <c r="G295" s="19"/>
      <c r="H295" s="20" t="s">
        <v>12</v>
      </c>
      <c r="I295" s="20"/>
      <c r="J295" s="35" t="s">
        <v>482</v>
      </c>
      <c r="K295" s="16" t="s">
        <v>17</v>
      </c>
      <c r="L295" s="19">
        <f>IF(K295="Public",1,IF(K295="FOUO (CUI)",2,IF(K295="Sensitive (CUI)",3,IF(K295="System-Only",4))))</f>
        <v>2</v>
      </c>
      <c r="M295" s="21" t="str">
        <f t="shared" si="5"/>
        <v/>
      </c>
      <c r="N295" s="21" t="str">
        <f t="shared" si="6"/>
        <v>X</v>
      </c>
      <c r="O295" s="34" t="str">
        <f t="shared" si="7"/>
        <v>X</v>
      </c>
    </row>
    <row r="296" spans="1:15" ht="14.25" customHeight="1" x14ac:dyDescent="0.55000000000000004">
      <c r="A296" s="37" t="s">
        <v>483</v>
      </c>
      <c r="B296" s="17">
        <v>292</v>
      </c>
      <c r="C296" s="17" t="s">
        <v>20</v>
      </c>
      <c r="D296" s="17" t="s">
        <v>110</v>
      </c>
      <c r="E296" s="17">
        <v>1600</v>
      </c>
      <c r="F296" s="18" t="s">
        <v>484</v>
      </c>
      <c r="G296" s="19" t="s">
        <v>112</v>
      </c>
      <c r="H296" s="20" t="s">
        <v>62</v>
      </c>
      <c r="I296" s="20" t="s">
        <v>113</v>
      </c>
      <c r="J296" s="19" t="s">
        <v>485</v>
      </c>
      <c r="K296" s="16" t="s">
        <v>17</v>
      </c>
      <c r="L296" s="19">
        <v>2</v>
      </c>
      <c r="M296" s="21" t="str">
        <f t="shared" si="5"/>
        <v/>
      </c>
      <c r="N296" s="21" t="str">
        <f t="shared" si="6"/>
        <v>X</v>
      </c>
      <c r="O296" s="34" t="str">
        <f t="shared" si="7"/>
        <v>X</v>
      </c>
    </row>
    <row r="297" spans="1:15" ht="14.25" customHeight="1" x14ac:dyDescent="0.55000000000000004">
      <c r="A297" s="16" t="s">
        <v>486</v>
      </c>
      <c r="B297" s="17">
        <v>293</v>
      </c>
      <c r="C297" s="17" t="s">
        <v>20</v>
      </c>
      <c r="D297" s="17" t="s">
        <v>487</v>
      </c>
      <c r="E297" s="17">
        <v>4</v>
      </c>
      <c r="F297" s="18" t="s">
        <v>29</v>
      </c>
      <c r="G297" s="20" t="s">
        <v>488</v>
      </c>
      <c r="H297" s="20" t="s">
        <v>62</v>
      </c>
      <c r="I297" s="20" t="s">
        <v>489</v>
      </c>
      <c r="J297" s="19" t="s">
        <v>490</v>
      </c>
      <c r="K297" s="16" t="s">
        <v>16</v>
      </c>
      <c r="L297" s="19">
        <v>1</v>
      </c>
      <c r="M297" s="21" t="str">
        <f t="shared" si="5"/>
        <v>X</v>
      </c>
      <c r="N297" s="21" t="str">
        <f t="shared" si="6"/>
        <v>X</v>
      </c>
      <c r="O297" s="34" t="str">
        <f t="shared" si="7"/>
        <v>X</v>
      </c>
    </row>
    <row r="298" spans="1:15" ht="14.25" customHeight="1" x14ac:dyDescent="0.55000000000000004">
      <c r="A298" s="16" t="s">
        <v>491</v>
      </c>
      <c r="B298" s="17">
        <v>294</v>
      </c>
      <c r="C298" s="17" t="s">
        <v>20</v>
      </c>
      <c r="D298" s="17" t="s">
        <v>79</v>
      </c>
      <c r="E298" s="17">
        <v>4</v>
      </c>
      <c r="F298" s="18" t="s">
        <v>492</v>
      </c>
      <c r="G298" s="19"/>
      <c r="H298" s="20" t="s">
        <v>12</v>
      </c>
      <c r="I298" s="20"/>
      <c r="J298" s="35" t="s">
        <v>463</v>
      </c>
      <c r="K298" s="16" t="s">
        <v>16</v>
      </c>
      <c r="L298" s="19">
        <f>IF(K298="Public",1,IF(K298="FOUO (CUI)",2,IF(K298="Sensitive (CUI)",3,IF(K298="System-Only",4))))</f>
        <v>1</v>
      </c>
      <c r="M298" s="21" t="str">
        <f t="shared" si="5"/>
        <v>X</v>
      </c>
      <c r="N298" s="21" t="str">
        <f t="shared" si="6"/>
        <v>X</v>
      </c>
      <c r="O298" s="34" t="str">
        <f t="shared" si="7"/>
        <v>X</v>
      </c>
    </row>
    <row r="299" spans="1:15" ht="14.25" customHeight="1" x14ac:dyDescent="0.55000000000000004">
      <c r="A299" s="37" t="s">
        <v>493</v>
      </c>
      <c r="B299" s="17">
        <v>295</v>
      </c>
      <c r="C299" s="17" t="s">
        <v>20</v>
      </c>
      <c r="D299" s="17" t="s">
        <v>110</v>
      </c>
      <c r="E299" s="17">
        <v>75</v>
      </c>
      <c r="F299" s="18" t="s">
        <v>494</v>
      </c>
      <c r="G299" s="19" t="s">
        <v>112</v>
      </c>
      <c r="H299" s="20" t="s">
        <v>132</v>
      </c>
      <c r="I299" s="20" t="s">
        <v>113</v>
      </c>
      <c r="J299" s="19" t="s">
        <v>495</v>
      </c>
      <c r="K299" s="16" t="s">
        <v>16</v>
      </c>
      <c r="L299" s="19">
        <v>1</v>
      </c>
      <c r="M299" s="21" t="str">
        <f t="shared" si="5"/>
        <v>X</v>
      </c>
      <c r="N299" s="21" t="str">
        <f t="shared" si="6"/>
        <v>X</v>
      </c>
      <c r="O299" s="34" t="str">
        <f t="shared" si="7"/>
        <v>X</v>
      </c>
    </row>
    <row r="300" spans="1:15" ht="14.25" customHeight="1" x14ac:dyDescent="0.55000000000000004">
      <c r="A300" s="16" t="s">
        <v>496</v>
      </c>
      <c r="B300" s="17">
        <v>296</v>
      </c>
      <c r="C300" s="17" t="s">
        <v>20</v>
      </c>
      <c r="D300" s="17" t="s">
        <v>20</v>
      </c>
      <c r="E300" s="17">
        <v>25</v>
      </c>
      <c r="F300" s="18" t="s">
        <v>497</v>
      </c>
      <c r="G300" s="19"/>
      <c r="H300" s="20" t="s">
        <v>36</v>
      </c>
      <c r="I300" s="20"/>
      <c r="J300" s="19">
        <v>376916</v>
      </c>
      <c r="K300" s="16" t="s">
        <v>17</v>
      </c>
      <c r="L300" s="19">
        <v>2</v>
      </c>
      <c r="M300" s="21" t="str">
        <f t="shared" si="5"/>
        <v/>
      </c>
      <c r="N300" s="21" t="str">
        <f t="shared" si="6"/>
        <v>X</v>
      </c>
      <c r="O300" s="34" t="str">
        <f t="shared" si="7"/>
        <v>X</v>
      </c>
    </row>
    <row r="301" spans="1:15" ht="14.25" customHeight="1" x14ac:dyDescent="0.55000000000000004">
      <c r="A301" s="16" t="s">
        <v>498</v>
      </c>
      <c r="B301" s="17">
        <v>297</v>
      </c>
      <c r="C301" s="17" t="s">
        <v>20</v>
      </c>
      <c r="D301" s="17" t="s">
        <v>20</v>
      </c>
      <c r="E301" s="17">
        <v>8</v>
      </c>
      <c r="F301" s="18" t="s">
        <v>29</v>
      </c>
      <c r="G301" s="19"/>
      <c r="H301" s="20" t="s">
        <v>118</v>
      </c>
      <c r="I301" s="20"/>
      <c r="J301" s="19">
        <v>5749</v>
      </c>
      <c r="K301" s="16" t="s">
        <v>18</v>
      </c>
      <c r="L301" s="19">
        <v>3</v>
      </c>
      <c r="M301" s="21" t="str">
        <f t="shared" si="5"/>
        <v/>
      </c>
      <c r="N301" s="21" t="str">
        <f t="shared" si="6"/>
        <v/>
      </c>
      <c r="O301" s="34" t="str">
        <f t="shared" si="7"/>
        <v>X</v>
      </c>
    </row>
    <row r="302" spans="1:15" ht="14.25" customHeight="1" x14ac:dyDescent="0.55000000000000004">
      <c r="A302" s="16" t="s">
        <v>499</v>
      </c>
      <c r="B302" s="17">
        <v>298</v>
      </c>
      <c r="C302" s="17" t="s">
        <v>20</v>
      </c>
      <c r="D302" s="17" t="s">
        <v>20</v>
      </c>
      <c r="E302" s="17">
        <v>5</v>
      </c>
      <c r="F302" s="18" t="s">
        <v>29</v>
      </c>
      <c r="G302" s="19"/>
      <c r="H302" s="20" t="s">
        <v>36</v>
      </c>
      <c r="I302" s="20"/>
      <c r="J302" s="19" t="s">
        <v>500</v>
      </c>
      <c r="K302" s="16" t="s">
        <v>18</v>
      </c>
      <c r="L302" s="19">
        <v>3</v>
      </c>
      <c r="M302" s="21" t="str">
        <f t="shared" si="5"/>
        <v/>
      </c>
      <c r="N302" s="21" t="str">
        <f t="shared" si="6"/>
        <v/>
      </c>
      <c r="O302" s="34" t="str">
        <f t="shared" si="7"/>
        <v>X</v>
      </c>
    </row>
    <row r="303" spans="1:15" ht="14.25" customHeight="1" x14ac:dyDescent="0.55000000000000004">
      <c r="A303" s="16" t="s">
        <v>501</v>
      </c>
      <c r="B303" s="17">
        <v>299</v>
      </c>
      <c r="C303" s="17" t="s">
        <v>20</v>
      </c>
      <c r="D303" s="17" t="s">
        <v>20</v>
      </c>
      <c r="E303" s="17">
        <v>130</v>
      </c>
      <c r="F303" s="18" t="s">
        <v>29</v>
      </c>
      <c r="G303" s="19"/>
      <c r="H303" s="20" t="s">
        <v>36</v>
      </c>
      <c r="I303" s="20"/>
      <c r="J303" s="19">
        <v>38100080001</v>
      </c>
      <c r="K303" s="16" t="s">
        <v>18</v>
      </c>
      <c r="L303" s="19">
        <v>3</v>
      </c>
      <c r="M303" s="21" t="str">
        <f t="shared" si="5"/>
        <v/>
      </c>
      <c r="N303" s="21" t="str">
        <f t="shared" si="6"/>
        <v/>
      </c>
      <c r="O303" s="34" t="str">
        <f t="shared" si="7"/>
        <v>X</v>
      </c>
    </row>
    <row r="304" spans="1:15" ht="14.25" customHeight="1" x14ac:dyDescent="0.55000000000000004">
      <c r="A304" s="16" t="s">
        <v>502</v>
      </c>
      <c r="B304" s="17">
        <v>300</v>
      </c>
      <c r="C304" s="17" t="s">
        <v>20</v>
      </c>
      <c r="D304" s="17" t="s">
        <v>20</v>
      </c>
      <c r="E304" s="17">
        <v>130</v>
      </c>
      <c r="F304" s="18" t="s">
        <v>29</v>
      </c>
      <c r="G304" s="19"/>
      <c r="H304" s="20" t="s">
        <v>36</v>
      </c>
      <c r="I304" s="20"/>
      <c r="J304" s="19">
        <v>32323720011</v>
      </c>
      <c r="K304" s="16" t="s">
        <v>18</v>
      </c>
      <c r="L304" s="19">
        <v>3</v>
      </c>
      <c r="M304" s="21" t="str">
        <f t="shared" si="5"/>
        <v/>
      </c>
      <c r="N304" s="21" t="str">
        <f t="shared" si="6"/>
        <v/>
      </c>
      <c r="O304" s="34" t="str">
        <f t="shared" si="7"/>
        <v>X</v>
      </c>
    </row>
    <row r="305" spans="1:15" ht="14.25" customHeight="1" x14ac:dyDescent="0.55000000000000004">
      <c r="A305" s="16" t="s">
        <v>503</v>
      </c>
      <c r="B305" s="17">
        <v>301</v>
      </c>
      <c r="C305" s="17" t="s">
        <v>20</v>
      </c>
      <c r="D305" s="17" t="s">
        <v>20</v>
      </c>
      <c r="E305" s="17">
        <v>6</v>
      </c>
      <c r="F305" s="18" t="s">
        <v>29</v>
      </c>
      <c r="G305" s="19"/>
      <c r="H305" s="20" t="s">
        <v>36</v>
      </c>
      <c r="I305" s="20"/>
      <c r="J305" s="19">
        <v>111111</v>
      </c>
      <c r="K305" s="16" t="s">
        <v>18</v>
      </c>
      <c r="L305" s="19">
        <v>3</v>
      </c>
      <c r="M305" s="21" t="str">
        <f t="shared" si="5"/>
        <v/>
      </c>
      <c r="N305" s="21" t="str">
        <f t="shared" si="6"/>
        <v/>
      </c>
      <c r="O305" s="34" t="str">
        <f t="shared" si="7"/>
        <v>X</v>
      </c>
    </row>
    <row r="306" spans="1:15" ht="14.25" customHeight="1" x14ac:dyDescent="0.55000000000000004">
      <c r="A306" s="16" t="s">
        <v>504</v>
      </c>
      <c r="B306" s="17">
        <v>302</v>
      </c>
      <c r="C306" s="17" t="s">
        <v>20</v>
      </c>
      <c r="D306" s="17" t="s">
        <v>20</v>
      </c>
      <c r="E306" s="17">
        <v>7</v>
      </c>
      <c r="F306" s="18" t="s">
        <v>505</v>
      </c>
      <c r="G306" s="20" t="s">
        <v>506</v>
      </c>
      <c r="H306" s="20" t="s">
        <v>30</v>
      </c>
      <c r="I306" s="20" t="s">
        <v>507</v>
      </c>
      <c r="J306" s="19" t="s">
        <v>508</v>
      </c>
      <c r="K306" s="16" t="s">
        <v>17</v>
      </c>
      <c r="L306" s="19">
        <v>2</v>
      </c>
      <c r="M306" s="21" t="str">
        <f t="shared" si="5"/>
        <v/>
      </c>
      <c r="N306" s="21" t="str">
        <f t="shared" si="6"/>
        <v>X</v>
      </c>
      <c r="O306" s="34" t="str">
        <f t="shared" si="7"/>
        <v>X</v>
      </c>
    </row>
    <row r="307" spans="1:15" ht="14.25" customHeight="1" x14ac:dyDescent="0.55000000000000004">
      <c r="A307" s="16" t="s">
        <v>509</v>
      </c>
      <c r="B307" s="17">
        <v>303</v>
      </c>
      <c r="C307" s="17" t="s">
        <v>20</v>
      </c>
      <c r="D307" s="17" t="s">
        <v>20</v>
      </c>
      <c r="E307" s="17">
        <v>2</v>
      </c>
      <c r="F307" s="18" t="s">
        <v>510</v>
      </c>
      <c r="G307" s="19"/>
      <c r="H307" s="20" t="s">
        <v>118</v>
      </c>
      <c r="I307" s="20"/>
      <c r="J307" s="19">
        <v>57</v>
      </c>
      <c r="K307" s="16" t="s">
        <v>17</v>
      </c>
      <c r="L307" s="19">
        <v>2</v>
      </c>
      <c r="M307" s="21" t="str">
        <f t="shared" si="5"/>
        <v/>
      </c>
      <c r="N307" s="21" t="str">
        <f t="shared" si="6"/>
        <v>X</v>
      </c>
      <c r="O307" s="34" t="str">
        <f t="shared" si="7"/>
        <v>X</v>
      </c>
    </row>
    <row r="308" spans="1:15" ht="14.25" customHeight="1" x14ac:dyDescent="0.55000000000000004">
      <c r="A308" s="16" t="s">
        <v>511</v>
      </c>
      <c r="B308" s="17">
        <v>304</v>
      </c>
      <c r="C308" s="17" t="s">
        <v>20</v>
      </c>
      <c r="D308" s="17" t="s">
        <v>20</v>
      </c>
      <c r="E308" s="17">
        <v>4</v>
      </c>
      <c r="F308" s="18" t="s">
        <v>512</v>
      </c>
      <c r="G308" s="19"/>
      <c r="H308" s="20" t="s">
        <v>30</v>
      </c>
      <c r="I308" s="20" t="s">
        <v>513</v>
      </c>
      <c r="J308" s="19">
        <v>9700</v>
      </c>
      <c r="K308" s="16" t="s">
        <v>17</v>
      </c>
      <c r="L308" s="19">
        <v>2</v>
      </c>
      <c r="M308" s="21" t="str">
        <f t="shared" si="5"/>
        <v/>
      </c>
      <c r="N308" s="21" t="str">
        <f t="shared" si="6"/>
        <v>X</v>
      </c>
      <c r="O308" s="34" t="str">
        <f t="shared" si="7"/>
        <v>X</v>
      </c>
    </row>
    <row r="309" spans="1:15" ht="14.25" customHeight="1" x14ac:dyDescent="0.55000000000000004">
      <c r="A309" s="16" t="s">
        <v>514</v>
      </c>
      <c r="B309" s="17">
        <v>305</v>
      </c>
      <c r="C309" s="17" t="s">
        <v>20</v>
      </c>
      <c r="D309" s="17" t="s">
        <v>20</v>
      </c>
      <c r="E309" s="17">
        <v>150</v>
      </c>
      <c r="F309" s="18" t="s">
        <v>515</v>
      </c>
      <c r="G309" s="19"/>
      <c r="H309" s="20" t="s">
        <v>30</v>
      </c>
      <c r="I309" s="20" t="s">
        <v>513</v>
      </c>
      <c r="J309" s="19" t="s">
        <v>516</v>
      </c>
      <c r="K309" s="16" t="s">
        <v>17</v>
      </c>
      <c r="L309" s="19">
        <v>2</v>
      </c>
      <c r="M309" s="21" t="str">
        <f t="shared" si="5"/>
        <v/>
      </c>
      <c r="N309" s="21" t="str">
        <f t="shared" si="6"/>
        <v>X</v>
      </c>
      <c r="O309" s="34" t="str">
        <f t="shared" si="7"/>
        <v>X</v>
      </c>
    </row>
    <row r="310" spans="1:15" ht="14.25" customHeight="1" x14ac:dyDescent="0.55000000000000004">
      <c r="A310" s="16" t="s">
        <v>517</v>
      </c>
      <c r="B310" s="17">
        <v>306</v>
      </c>
      <c r="C310" s="17" t="s">
        <v>20</v>
      </c>
      <c r="D310" s="17" t="s">
        <v>20</v>
      </c>
      <c r="E310" s="17">
        <v>4</v>
      </c>
      <c r="F310" s="18" t="s">
        <v>518</v>
      </c>
      <c r="G310" s="19"/>
      <c r="H310" s="20" t="s">
        <v>30</v>
      </c>
      <c r="I310" s="20" t="s">
        <v>513</v>
      </c>
      <c r="J310" s="19">
        <v>2100</v>
      </c>
      <c r="K310" s="16" t="s">
        <v>17</v>
      </c>
      <c r="L310" s="19">
        <v>2</v>
      </c>
      <c r="M310" s="21" t="str">
        <f t="shared" si="5"/>
        <v/>
      </c>
      <c r="N310" s="21" t="str">
        <f t="shared" si="6"/>
        <v>X</v>
      </c>
      <c r="O310" s="34" t="str">
        <f t="shared" si="7"/>
        <v>X</v>
      </c>
    </row>
    <row r="311" spans="1:15" ht="14.25" customHeight="1" x14ac:dyDescent="0.55000000000000004">
      <c r="A311" s="16" t="s">
        <v>519</v>
      </c>
      <c r="B311" s="17">
        <v>307</v>
      </c>
      <c r="C311" s="17" t="s">
        <v>20</v>
      </c>
      <c r="D311" s="17" t="s">
        <v>20</v>
      </c>
      <c r="E311" s="17">
        <v>150</v>
      </c>
      <c r="F311" s="18" t="s">
        <v>520</v>
      </c>
      <c r="G311" s="19"/>
      <c r="H311" s="20" t="s">
        <v>30</v>
      </c>
      <c r="I311" s="20" t="s">
        <v>513</v>
      </c>
      <c r="J311" s="19" t="s">
        <v>521</v>
      </c>
      <c r="K311" s="16" t="s">
        <v>17</v>
      </c>
      <c r="L311" s="19">
        <v>2</v>
      </c>
      <c r="M311" s="21" t="str">
        <f t="shared" si="5"/>
        <v/>
      </c>
      <c r="N311" s="21" t="str">
        <f t="shared" si="6"/>
        <v>X</v>
      </c>
      <c r="O311" s="34" t="str">
        <f t="shared" si="7"/>
        <v>X</v>
      </c>
    </row>
    <row r="312" spans="1:15" ht="99.75" customHeight="1" x14ac:dyDescent="0.55000000000000004">
      <c r="A312" s="16" t="s">
        <v>522</v>
      </c>
      <c r="B312" s="17">
        <v>308</v>
      </c>
      <c r="C312" s="17" t="s">
        <v>20</v>
      </c>
      <c r="D312" s="17" t="s">
        <v>20</v>
      </c>
      <c r="E312" s="17">
        <v>6</v>
      </c>
      <c r="F312" s="18" t="s">
        <v>523</v>
      </c>
      <c r="G312" s="19"/>
      <c r="H312" s="20" t="s">
        <v>30</v>
      </c>
      <c r="I312" s="20" t="s">
        <v>513</v>
      </c>
      <c r="J312" s="19" t="s">
        <v>524</v>
      </c>
      <c r="K312" s="16" t="s">
        <v>17</v>
      </c>
      <c r="L312" s="19">
        <v>2</v>
      </c>
      <c r="M312" s="21" t="str">
        <f t="shared" si="5"/>
        <v/>
      </c>
      <c r="N312" s="21" t="str">
        <f t="shared" si="6"/>
        <v>X</v>
      </c>
      <c r="O312" s="34" t="str">
        <f t="shared" si="7"/>
        <v>X</v>
      </c>
    </row>
    <row r="313" spans="1:15" ht="14.25" customHeight="1" x14ac:dyDescent="0.55000000000000004">
      <c r="A313" s="16" t="s">
        <v>525</v>
      </c>
      <c r="B313" s="17">
        <v>309</v>
      </c>
      <c r="C313" s="17" t="s">
        <v>20</v>
      </c>
      <c r="D313" s="17" t="s">
        <v>20</v>
      </c>
      <c r="E313" s="17">
        <v>65</v>
      </c>
      <c r="F313" s="18" t="s">
        <v>29</v>
      </c>
      <c r="G313" s="19"/>
      <c r="H313" s="20" t="s">
        <v>36</v>
      </c>
      <c r="I313" s="20"/>
      <c r="J313" s="19" t="s">
        <v>153</v>
      </c>
      <c r="K313" s="16" t="s">
        <v>17</v>
      </c>
      <c r="L313" s="19">
        <f t="shared" ref="L313:L367" si="9">IF(K313="Public",1,IF(K313="FOUO (CUI)",2,IF(K313="Sensitive (CUI)",3,IF(K313="System-Only",4))))</f>
        <v>2</v>
      </c>
      <c r="M313" s="21" t="str">
        <f t="shared" si="5"/>
        <v/>
      </c>
      <c r="N313" s="21" t="str">
        <f t="shared" si="6"/>
        <v>X</v>
      </c>
      <c r="O313" s="34" t="str">
        <f t="shared" si="7"/>
        <v>X</v>
      </c>
    </row>
    <row r="314" spans="1:15" ht="14.25" customHeight="1" x14ac:dyDescent="0.55000000000000004">
      <c r="A314" s="16" t="s">
        <v>526</v>
      </c>
      <c r="B314" s="17">
        <v>310</v>
      </c>
      <c r="C314" s="17" t="s">
        <v>20</v>
      </c>
      <c r="D314" s="17" t="s">
        <v>20</v>
      </c>
      <c r="E314" s="17">
        <v>3</v>
      </c>
      <c r="F314" s="18" t="s">
        <v>29</v>
      </c>
      <c r="G314" s="19"/>
      <c r="H314" s="20" t="s">
        <v>36</v>
      </c>
      <c r="I314" s="20"/>
      <c r="J314" s="19" t="s">
        <v>42</v>
      </c>
      <c r="K314" s="16" t="s">
        <v>17</v>
      </c>
      <c r="L314" s="19">
        <f t="shared" si="9"/>
        <v>2</v>
      </c>
      <c r="M314" s="21" t="str">
        <f t="shared" si="5"/>
        <v/>
      </c>
      <c r="N314" s="21" t="str">
        <f t="shared" si="6"/>
        <v>X</v>
      </c>
      <c r="O314" s="34" t="str">
        <f t="shared" si="7"/>
        <v>X</v>
      </c>
    </row>
    <row r="315" spans="1:15" ht="14.25" customHeight="1" x14ac:dyDescent="0.55000000000000004">
      <c r="A315" s="16" t="s">
        <v>527</v>
      </c>
      <c r="B315" s="17">
        <v>311</v>
      </c>
      <c r="C315" s="17" t="s">
        <v>20</v>
      </c>
      <c r="D315" s="17" t="s">
        <v>20</v>
      </c>
      <c r="E315" s="17">
        <v>65</v>
      </c>
      <c r="F315" s="18" t="s">
        <v>29</v>
      </c>
      <c r="G315" s="19"/>
      <c r="H315" s="20" t="s">
        <v>36</v>
      </c>
      <c r="I315" s="20"/>
      <c r="J315" s="19" t="s">
        <v>156</v>
      </c>
      <c r="K315" s="16" t="s">
        <v>17</v>
      </c>
      <c r="L315" s="19">
        <f t="shared" si="9"/>
        <v>2</v>
      </c>
      <c r="M315" s="21" t="str">
        <f t="shared" si="5"/>
        <v/>
      </c>
      <c r="N315" s="21" t="str">
        <f t="shared" si="6"/>
        <v>X</v>
      </c>
      <c r="O315" s="34" t="str">
        <f t="shared" si="7"/>
        <v>X</v>
      </c>
    </row>
    <row r="316" spans="1:15" ht="14.25" customHeight="1" x14ac:dyDescent="0.55000000000000004">
      <c r="A316" s="16" t="s">
        <v>528</v>
      </c>
      <c r="B316" s="17">
        <v>312</v>
      </c>
      <c r="C316" s="17" t="s">
        <v>20</v>
      </c>
      <c r="D316" s="17" t="s">
        <v>20</v>
      </c>
      <c r="E316" s="17">
        <v>50</v>
      </c>
      <c r="F316" s="18" t="s">
        <v>29</v>
      </c>
      <c r="G316" s="19"/>
      <c r="H316" s="20" t="s">
        <v>36</v>
      </c>
      <c r="I316" s="20"/>
      <c r="J316" s="19" t="s">
        <v>158</v>
      </c>
      <c r="K316" s="16" t="s">
        <v>17</v>
      </c>
      <c r="L316" s="19">
        <f t="shared" si="9"/>
        <v>2</v>
      </c>
      <c r="M316" s="21" t="str">
        <f t="shared" si="5"/>
        <v/>
      </c>
      <c r="N316" s="21" t="str">
        <f t="shared" si="6"/>
        <v>X</v>
      </c>
      <c r="O316" s="34" t="str">
        <f t="shared" si="7"/>
        <v>X</v>
      </c>
    </row>
    <row r="317" spans="1:15" ht="14.25" customHeight="1" x14ac:dyDescent="0.55000000000000004">
      <c r="A317" s="16" t="s">
        <v>529</v>
      </c>
      <c r="B317" s="17">
        <v>313</v>
      </c>
      <c r="C317" s="17" t="s">
        <v>20</v>
      </c>
      <c r="D317" s="17" t="s">
        <v>20</v>
      </c>
      <c r="E317" s="17">
        <v>150</v>
      </c>
      <c r="F317" s="18" t="s">
        <v>29</v>
      </c>
      <c r="G317" s="19"/>
      <c r="H317" s="20" t="s">
        <v>36</v>
      </c>
      <c r="I317" s="20"/>
      <c r="J317" s="19" t="s">
        <v>160</v>
      </c>
      <c r="K317" s="16" t="s">
        <v>17</v>
      </c>
      <c r="L317" s="19">
        <f t="shared" si="9"/>
        <v>2</v>
      </c>
      <c r="M317" s="21" t="str">
        <f t="shared" si="5"/>
        <v/>
      </c>
      <c r="N317" s="21" t="str">
        <f t="shared" si="6"/>
        <v>X</v>
      </c>
      <c r="O317" s="34" t="str">
        <f t="shared" si="7"/>
        <v>X</v>
      </c>
    </row>
    <row r="318" spans="1:15" ht="14.25" customHeight="1" x14ac:dyDescent="0.55000000000000004">
      <c r="A318" s="16" t="s">
        <v>530</v>
      </c>
      <c r="B318" s="17">
        <v>314</v>
      </c>
      <c r="C318" s="17" t="s">
        <v>20</v>
      </c>
      <c r="D318" s="17" t="s">
        <v>20</v>
      </c>
      <c r="E318" s="17">
        <v>150</v>
      </c>
      <c r="F318" s="18" t="s">
        <v>29</v>
      </c>
      <c r="G318" s="19"/>
      <c r="H318" s="20" t="s">
        <v>36</v>
      </c>
      <c r="I318" s="20"/>
      <c r="J318" s="19" t="s">
        <v>162</v>
      </c>
      <c r="K318" s="16" t="s">
        <v>17</v>
      </c>
      <c r="L318" s="19">
        <f t="shared" si="9"/>
        <v>2</v>
      </c>
      <c r="M318" s="21" t="str">
        <f t="shared" si="5"/>
        <v/>
      </c>
      <c r="N318" s="21" t="str">
        <f t="shared" si="6"/>
        <v>X</v>
      </c>
      <c r="O318" s="34" t="str">
        <f t="shared" si="7"/>
        <v>X</v>
      </c>
    </row>
    <row r="319" spans="1:15" ht="14.25" customHeight="1" x14ac:dyDescent="0.55000000000000004">
      <c r="A319" s="16" t="s">
        <v>531</v>
      </c>
      <c r="B319" s="17">
        <v>315</v>
      </c>
      <c r="C319" s="17" t="s">
        <v>20</v>
      </c>
      <c r="D319" s="17" t="s">
        <v>20</v>
      </c>
      <c r="E319" s="17">
        <v>40</v>
      </c>
      <c r="F319" s="18" t="s">
        <v>29</v>
      </c>
      <c r="G319" s="19"/>
      <c r="H319" s="20" t="s">
        <v>36</v>
      </c>
      <c r="I319" s="20"/>
      <c r="J319" s="19" t="s">
        <v>164</v>
      </c>
      <c r="K319" s="16" t="s">
        <v>17</v>
      </c>
      <c r="L319" s="19">
        <f t="shared" si="9"/>
        <v>2</v>
      </c>
      <c r="M319" s="21" t="str">
        <f t="shared" si="5"/>
        <v/>
      </c>
      <c r="N319" s="21" t="str">
        <f t="shared" si="6"/>
        <v>X</v>
      </c>
      <c r="O319" s="34" t="str">
        <f t="shared" si="7"/>
        <v>X</v>
      </c>
    </row>
    <row r="320" spans="1:15" ht="14.25" customHeight="1" x14ac:dyDescent="0.55000000000000004">
      <c r="A320" s="16" t="s">
        <v>532</v>
      </c>
      <c r="B320" s="17">
        <v>316</v>
      </c>
      <c r="C320" s="17" t="s">
        <v>20</v>
      </c>
      <c r="D320" s="17" t="s">
        <v>20</v>
      </c>
      <c r="E320" s="17">
        <v>50</v>
      </c>
      <c r="F320" s="18" t="s">
        <v>29</v>
      </c>
      <c r="G320" s="19"/>
      <c r="H320" s="20" t="s">
        <v>36</v>
      </c>
      <c r="I320" s="20" t="s">
        <v>77</v>
      </c>
      <c r="J320" s="19" t="s">
        <v>166</v>
      </c>
      <c r="K320" s="16" t="s">
        <v>17</v>
      </c>
      <c r="L320" s="19">
        <f t="shared" si="9"/>
        <v>2</v>
      </c>
      <c r="M320" s="21" t="str">
        <f t="shared" si="5"/>
        <v/>
      </c>
      <c r="N320" s="21" t="str">
        <f t="shared" si="6"/>
        <v>X</v>
      </c>
      <c r="O320" s="34" t="str">
        <f t="shared" si="7"/>
        <v>X</v>
      </c>
    </row>
    <row r="321" spans="1:15" ht="14.25" customHeight="1" x14ac:dyDescent="0.55000000000000004">
      <c r="A321" s="16" t="s">
        <v>533</v>
      </c>
      <c r="B321" s="17">
        <v>317</v>
      </c>
      <c r="C321" s="17" t="s">
        <v>20</v>
      </c>
      <c r="D321" s="17" t="s">
        <v>79</v>
      </c>
      <c r="E321" s="17">
        <v>4</v>
      </c>
      <c r="F321" s="18" t="s">
        <v>29</v>
      </c>
      <c r="G321" s="19"/>
      <c r="H321" s="20" t="s">
        <v>36</v>
      </c>
      <c r="I321" s="20"/>
      <c r="J321" s="19" t="s">
        <v>168</v>
      </c>
      <c r="K321" s="16" t="s">
        <v>17</v>
      </c>
      <c r="L321" s="19">
        <f t="shared" si="9"/>
        <v>2</v>
      </c>
      <c r="M321" s="21" t="str">
        <f t="shared" si="5"/>
        <v/>
      </c>
      <c r="N321" s="21" t="str">
        <f t="shared" si="6"/>
        <v>X</v>
      </c>
      <c r="O321" s="34" t="str">
        <f t="shared" si="7"/>
        <v>X</v>
      </c>
    </row>
    <row r="322" spans="1:15" ht="14.25" customHeight="1" x14ac:dyDescent="0.55000000000000004">
      <c r="A322" s="16" t="s">
        <v>534</v>
      </c>
      <c r="B322" s="17">
        <v>318</v>
      </c>
      <c r="C322" s="17" t="s">
        <v>20</v>
      </c>
      <c r="D322" s="17" t="s">
        <v>20</v>
      </c>
      <c r="E322" s="17">
        <v>3</v>
      </c>
      <c r="F322" s="18" t="s">
        <v>29</v>
      </c>
      <c r="G322" s="19"/>
      <c r="H322" s="20" t="s">
        <v>36</v>
      </c>
      <c r="I322" s="20"/>
      <c r="J322" s="19" t="s">
        <v>83</v>
      </c>
      <c r="K322" s="16" t="s">
        <v>17</v>
      </c>
      <c r="L322" s="19">
        <f t="shared" si="9"/>
        <v>2</v>
      </c>
      <c r="M322" s="21" t="str">
        <f t="shared" si="5"/>
        <v/>
      </c>
      <c r="N322" s="21" t="str">
        <f t="shared" si="6"/>
        <v>X</v>
      </c>
      <c r="O322" s="34" t="str">
        <f t="shared" si="7"/>
        <v>X</v>
      </c>
    </row>
    <row r="323" spans="1:15" ht="14.25" customHeight="1" x14ac:dyDescent="0.55000000000000004">
      <c r="A323" s="16" t="s">
        <v>535</v>
      </c>
      <c r="B323" s="17">
        <v>319</v>
      </c>
      <c r="C323" s="17" t="s">
        <v>20</v>
      </c>
      <c r="D323" s="17" t="s">
        <v>20</v>
      </c>
      <c r="E323" s="17">
        <v>55</v>
      </c>
      <c r="F323" s="18" t="s">
        <v>29</v>
      </c>
      <c r="G323" s="19"/>
      <c r="H323" s="20" t="s">
        <v>36</v>
      </c>
      <c r="I323" s="20" t="s">
        <v>74</v>
      </c>
      <c r="J323" s="19" t="s">
        <v>171</v>
      </c>
      <c r="K323" s="16" t="s">
        <v>17</v>
      </c>
      <c r="L323" s="19">
        <f t="shared" si="9"/>
        <v>2</v>
      </c>
      <c r="M323" s="21" t="str">
        <f t="shared" si="5"/>
        <v/>
      </c>
      <c r="N323" s="21" t="str">
        <f t="shared" si="6"/>
        <v>X</v>
      </c>
      <c r="O323" s="34" t="str">
        <f t="shared" si="7"/>
        <v>X</v>
      </c>
    </row>
    <row r="324" spans="1:15" ht="14.25" customHeight="1" x14ac:dyDescent="0.55000000000000004">
      <c r="A324" s="16" t="s">
        <v>536</v>
      </c>
      <c r="B324" s="17">
        <v>320</v>
      </c>
      <c r="C324" s="17" t="s">
        <v>20</v>
      </c>
      <c r="D324" s="17" t="s">
        <v>79</v>
      </c>
      <c r="E324" s="17">
        <v>30</v>
      </c>
      <c r="F324" s="18" t="s">
        <v>29</v>
      </c>
      <c r="G324" s="19"/>
      <c r="H324" s="20" t="s">
        <v>36</v>
      </c>
      <c r="I324" s="20" t="s">
        <v>77</v>
      </c>
      <c r="J324" s="19" t="s">
        <v>173</v>
      </c>
      <c r="K324" s="16" t="s">
        <v>17</v>
      </c>
      <c r="L324" s="19">
        <f t="shared" si="9"/>
        <v>2</v>
      </c>
      <c r="M324" s="21" t="str">
        <f t="shared" si="5"/>
        <v/>
      </c>
      <c r="N324" s="21" t="str">
        <f t="shared" si="6"/>
        <v>X</v>
      </c>
      <c r="O324" s="34" t="str">
        <f t="shared" si="7"/>
        <v>X</v>
      </c>
    </row>
    <row r="325" spans="1:15" ht="14.25" customHeight="1" x14ac:dyDescent="0.55000000000000004">
      <c r="A325" s="16" t="s">
        <v>537</v>
      </c>
      <c r="B325" s="17">
        <v>321</v>
      </c>
      <c r="C325" s="17" t="s">
        <v>20</v>
      </c>
      <c r="D325" s="17" t="s">
        <v>20</v>
      </c>
      <c r="E325" s="17">
        <v>25</v>
      </c>
      <c r="F325" s="18" t="s">
        <v>29</v>
      </c>
      <c r="G325" s="19"/>
      <c r="H325" s="20" t="s">
        <v>36</v>
      </c>
      <c r="I325" s="20"/>
      <c r="J325" s="19" t="s">
        <v>175</v>
      </c>
      <c r="K325" s="16" t="s">
        <v>17</v>
      </c>
      <c r="L325" s="19">
        <f t="shared" si="9"/>
        <v>2</v>
      </c>
      <c r="M325" s="21" t="str">
        <f t="shared" si="5"/>
        <v/>
      </c>
      <c r="N325" s="21" t="str">
        <f t="shared" si="6"/>
        <v>X</v>
      </c>
      <c r="O325" s="34" t="str">
        <f t="shared" si="7"/>
        <v>X</v>
      </c>
    </row>
    <row r="326" spans="1:15" ht="14.25" customHeight="1" x14ac:dyDescent="0.55000000000000004">
      <c r="A326" s="16" t="s">
        <v>538</v>
      </c>
      <c r="B326" s="17">
        <v>322</v>
      </c>
      <c r="C326" s="17" t="s">
        <v>20</v>
      </c>
      <c r="D326" s="17" t="s">
        <v>20</v>
      </c>
      <c r="E326" s="17">
        <v>30</v>
      </c>
      <c r="F326" s="18" t="s">
        <v>29</v>
      </c>
      <c r="G326" s="19"/>
      <c r="H326" s="20" t="s">
        <v>36</v>
      </c>
      <c r="I326" s="20" t="s">
        <v>177</v>
      </c>
      <c r="J326" s="19" t="s">
        <v>178</v>
      </c>
      <c r="K326" s="16" t="s">
        <v>17</v>
      </c>
      <c r="L326" s="19">
        <f t="shared" si="9"/>
        <v>2</v>
      </c>
      <c r="M326" s="21" t="str">
        <f t="shared" si="5"/>
        <v/>
      </c>
      <c r="N326" s="21" t="str">
        <f t="shared" si="6"/>
        <v>X</v>
      </c>
      <c r="O326" s="34" t="str">
        <f t="shared" si="7"/>
        <v>X</v>
      </c>
    </row>
    <row r="327" spans="1:15" ht="14.25" customHeight="1" x14ac:dyDescent="0.55000000000000004">
      <c r="A327" s="16" t="s">
        <v>539</v>
      </c>
      <c r="B327" s="17">
        <v>323</v>
      </c>
      <c r="C327" s="17" t="s">
        <v>20</v>
      </c>
      <c r="D327" s="17" t="s">
        <v>20</v>
      </c>
      <c r="E327" s="17">
        <v>30</v>
      </c>
      <c r="F327" s="18" t="s">
        <v>29</v>
      </c>
      <c r="G327" s="19"/>
      <c r="H327" s="20" t="s">
        <v>36</v>
      </c>
      <c r="I327" s="20"/>
      <c r="J327" s="19" t="s">
        <v>180</v>
      </c>
      <c r="K327" s="16" t="s">
        <v>17</v>
      </c>
      <c r="L327" s="19">
        <f t="shared" si="9"/>
        <v>2</v>
      </c>
      <c r="M327" s="21" t="str">
        <f t="shared" si="5"/>
        <v/>
      </c>
      <c r="N327" s="21" t="str">
        <f t="shared" si="6"/>
        <v>X</v>
      </c>
      <c r="O327" s="34" t="str">
        <f t="shared" si="7"/>
        <v>X</v>
      </c>
    </row>
    <row r="328" spans="1:15" ht="14.25" customHeight="1" x14ac:dyDescent="0.55000000000000004">
      <c r="A328" s="16" t="s">
        <v>540</v>
      </c>
      <c r="B328" s="17">
        <v>324</v>
      </c>
      <c r="C328" s="17" t="s">
        <v>20</v>
      </c>
      <c r="D328" s="17" t="s">
        <v>20</v>
      </c>
      <c r="E328" s="17">
        <v>80</v>
      </c>
      <c r="F328" s="18" t="s">
        <v>29</v>
      </c>
      <c r="G328" s="19"/>
      <c r="H328" s="20" t="s">
        <v>36</v>
      </c>
      <c r="I328" s="20"/>
      <c r="J328" s="19" t="s">
        <v>182</v>
      </c>
      <c r="K328" s="16" t="s">
        <v>17</v>
      </c>
      <c r="L328" s="19">
        <f t="shared" si="9"/>
        <v>2</v>
      </c>
      <c r="M328" s="21" t="str">
        <f t="shared" si="5"/>
        <v/>
      </c>
      <c r="N328" s="21" t="str">
        <f t="shared" si="6"/>
        <v>X</v>
      </c>
      <c r="O328" s="34" t="str">
        <f t="shared" si="7"/>
        <v>X</v>
      </c>
    </row>
    <row r="329" spans="1:15" ht="14.25" customHeight="1" x14ac:dyDescent="0.55000000000000004">
      <c r="A329" s="16" t="s">
        <v>541</v>
      </c>
      <c r="B329" s="17">
        <v>325</v>
      </c>
      <c r="C329" s="17" t="s">
        <v>20</v>
      </c>
      <c r="D329" s="17" t="s">
        <v>20</v>
      </c>
      <c r="E329" s="17">
        <v>65</v>
      </c>
      <c r="F329" s="18" t="s">
        <v>29</v>
      </c>
      <c r="G329" s="19"/>
      <c r="H329" s="20" t="s">
        <v>36</v>
      </c>
      <c r="I329" s="20"/>
      <c r="J329" s="19" t="s">
        <v>153</v>
      </c>
      <c r="K329" s="16" t="s">
        <v>17</v>
      </c>
      <c r="L329" s="19">
        <f t="shared" si="9"/>
        <v>2</v>
      </c>
      <c r="M329" s="21" t="str">
        <f t="shared" si="5"/>
        <v/>
      </c>
      <c r="N329" s="21" t="str">
        <f t="shared" si="6"/>
        <v>X</v>
      </c>
      <c r="O329" s="34" t="str">
        <f t="shared" si="7"/>
        <v>X</v>
      </c>
    </row>
    <row r="330" spans="1:15" ht="14.25" customHeight="1" x14ac:dyDescent="0.55000000000000004">
      <c r="A330" s="16" t="s">
        <v>542</v>
      </c>
      <c r="B330" s="17">
        <v>326</v>
      </c>
      <c r="C330" s="17" t="s">
        <v>20</v>
      </c>
      <c r="D330" s="17" t="s">
        <v>20</v>
      </c>
      <c r="E330" s="17">
        <v>3</v>
      </c>
      <c r="F330" s="18" t="s">
        <v>29</v>
      </c>
      <c r="G330" s="19"/>
      <c r="H330" s="20" t="s">
        <v>36</v>
      </c>
      <c r="I330" s="20"/>
      <c r="J330" s="19" t="s">
        <v>42</v>
      </c>
      <c r="K330" s="16" t="s">
        <v>17</v>
      </c>
      <c r="L330" s="19">
        <f t="shared" si="9"/>
        <v>2</v>
      </c>
      <c r="M330" s="21" t="str">
        <f t="shared" si="5"/>
        <v/>
      </c>
      <c r="N330" s="21" t="str">
        <f t="shared" si="6"/>
        <v>X</v>
      </c>
      <c r="O330" s="34" t="str">
        <f t="shared" si="7"/>
        <v>X</v>
      </c>
    </row>
    <row r="331" spans="1:15" ht="14.25" customHeight="1" x14ac:dyDescent="0.55000000000000004">
      <c r="A331" s="16" t="s">
        <v>543</v>
      </c>
      <c r="B331" s="17">
        <v>327</v>
      </c>
      <c r="C331" s="17" t="s">
        <v>20</v>
      </c>
      <c r="D331" s="17" t="s">
        <v>20</v>
      </c>
      <c r="E331" s="17">
        <v>65</v>
      </c>
      <c r="F331" s="18" t="s">
        <v>29</v>
      </c>
      <c r="G331" s="19"/>
      <c r="H331" s="20" t="s">
        <v>36</v>
      </c>
      <c r="I331" s="20"/>
      <c r="J331" s="19" t="s">
        <v>156</v>
      </c>
      <c r="K331" s="16" t="s">
        <v>17</v>
      </c>
      <c r="L331" s="19">
        <f t="shared" si="9"/>
        <v>2</v>
      </c>
      <c r="M331" s="21" t="str">
        <f t="shared" si="5"/>
        <v/>
      </c>
      <c r="N331" s="21" t="str">
        <f t="shared" si="6"/>
        <v>X</v>
      </c>
      <c r="O331" s="34" t="str">
        <f t="shared" si="7"/>
        <v>X</v>
      </c>
    </row>
    <row r="332" spans="1:15" ht="14.25" customHeight="1" x14ac:dyDescent="0.55000000000000004">
      <c r="A332" s="16" t="s">
        <v>544</v>
      </c>
      <c r="B332" s="17">
        <v>328</v>
      </c>
      <c r="C332" s="17" t="s">
        <v>20</v>
      </c>
      <c r="D332" s="17" t="s">
        <v>20</v>
      </c>
      <c r="E332" s="17">
        <v>50</v>
      </c>
      <c r="F332" s="18" t="s">
        <v>29</v>
      </c>
      <c r="G332" s="19"/>
      <c r="H332" s="20" t="s">
        <v>36</v>
      </c>
      <c r="I332" s="20"/>
      <c r="J332" s="19" t="s">
        <v>158</v>
      </c>
      <c r="K332" s="16" t="s">
        <v>17</v>
      </c>
      <c r="L332" s="19">
        <f t="shared" si="9"/>
        <v>2</v>
      </c>
      <c r="M332" s="21" t="str">
        <f t="shared" si="5"/>
        <v/>
      </c>
      <c r="N332" s="21" t="str">
        <f t="shared" si="6"/>
        <v>X</v>
      </c>
      <c r="O332" s="34" t="str">
        <f t="shared" si="7"/>
        <v>X</v>
      </c>
    </row>
    <row r="333" spans="1:15" ht="14.25" customHeight="1" x14ac:dyDescent="0.55000000000000004">
      <c r="A333" s="16" t="s">
        <v>545</v>
      </c>
      <c r="B333" s="17">
        <v>329</v>
      </c>
      <c r="C333" s="17" t="s">
        <v>20</v>
      </c>
      <c r="D333" s="17" t="s">
        <v>20</v>
      </c>
      <c r="E333" s="17">
        <v>150</v>
      </c>
      <c r="F333" s="18" t="s">
        <v>29</v>
      </c>
      <c r="G333" s="19"/>
      <c r="H333" s="20" t="s">
        <v>36</v>
      </c>
      <c r="I333" s="20"/>
      <c r="J333" s="19" t="s">
        <v>160</v>
      </c>
      <c r="K333" s="16" t="s">
        <v>17</v>
      </c>
      <c r="L333" s="19">
        <f t="shared" si="9"/>
        <v>2</v>
      </c>
      <c r="M333" s="21" t="str">
        <f t="shared" si="5"/>
        <v/>
      </c>
      <c r="N333" s="21" t="str">
        <f t="shared" si="6"/>
        <v>X</v>
      </c>
      <c r="O333" s="34" t="str">
        <f t="shared" si="7"/>
        <v>X</v>
      </c>
    </row>
    <row r="334" spans="1:15" ht="14.25" customHeight="1" x14ac:dyDescent="0.55000000000000004">
      <c r="A334" s="16" t="s">
        <v>546</v>
      </c>
      <c r="B334" s="17">
        <v>330</v>
      </c>
      <c r="C334" s="17" t="s">
        <v>20</v>
      </c>
      <c r="D334" s="17" t="s">
        <v>20</v>
      </c>
      <c r="E334" s="17">
        <v>150</v>
      </c>
      <c r="F334" s="18" t="s">
        <v>29</v>
      </c>
      <c r="G334" s="19"/>
      <c r="H334" s="20" t="s">
        <v>36</v>
      </c>
      <c r="I334" s="20"/>
      <c r="J334" s="19" t="s">
        <v>162</v>
      </c>
      <c r="K334" s="16" t="s">
        <v>17</v>
      </c>
      <c r="L334" s="19">
        <f t="shared" si="9"/>
        <v>2</v>
      </c>
      <c r="M334" s="21" t="str">
        <f t="shared" si="5"/>
        <v/>
      </c>
      <c r="N334" s="21" t="str">
        <f t="shared" si="6"/>
        <v>X</v>
      </c>
      <c r="O334" s="34" t="str">
        <f t="shared" si="7"/>
        <v>X</v>
      </c>
    </row>
    <row r="335" spans="1:15" ht="14.25" customHeight="1" x14ac:dyDescent="0.55000000000000004">
      <c r="A335" s="16" t="s">
        <v>547</v>
      </c>
      <c r="B335" s="17">
        <v>331</v>
      </c>
      <c r="C335" s="17" t="s">
        <v>20</v>
      </c>
      <c r="D335" s="17" t="s">
        <v>20</v>
      </c>
      <c r="E335" s="17">
        <v>40</v>
      </c>
      <c r="F335" s="18" t="s">
        <v>29</v>
      </c>
      <c r="G335" s="19"/>
      <c r="H335" s="20" t="s">
        <v>36</v>
      </c>
      <c r="I335" s="20"/>
      <c r="J335" s="19" t="s">
        <v>164</v>
      </c>
      <c r="K335" s="16" t="s">
        <v>17</v>
      </c>
      <c r="L335" s="19">
        <f t="shared" si="9"/>
        <v>2</v>
      </c>
      <c r="M335" s="21" t="str">
        <f t="shared" si="5"/>
        <v/>
      </c>
      <c r="N335" s="21" t="str">
        <f t="shared" si="6"/>
        <v>X</v>
      </c>
      <c r="O335" s="34" t="str">
        <f t="shared" si="7"/>
        <v>X</v>
      </c>
    </row>
    <row r="336" spans="1:15" ht="14.25" customHeight="1" x14ac:dyDescent="0.55000000000000004">
      <c r="A336" s="16" t="s">
        <v>548</v>
      </c>
      <c r="B336" s="17">
        <v>332</v>
      </c>
      <c r="C336" s="17" t="s">
        <v>20</v>
      </c>
      <c r="D336" s="17" t="s">
        <v>20</v>
      </c>
      <c r="E336" s="17">
        <v>50</v>
      </c>
      <c r="F336" s="18" t="s">
        <v>29</v>
      </c>
      <c r="G336" s="19"/>
      <c r="H336" s="20" t="s">
        <v>36</v>
      </c>
      <c r="I336" s="20" t="s">
        <v>77</v>
      </c>
      <c r="J336" s="19" t="s">
        <v>166</v>
      </c>
      <c r="K336" s="16" t="s">
        <v>17</v>
      </c>
      <c r="L336" s="19">
        <f t="shared" si="9"/>
        <v>2</v>
      </c>
      <c r="M336" s="21" t="str">
        <f t="shared" si="5"/>
        <v/>
      </c>
      <c r="N336" s="21" t="str">
        <f t="shared" si="6"/>
        <v>X</v>
      </c>
      <c r="O336" s="34" t="str">
        <f t="shared" si="7"/>
        <v>X</v>
      </c>
    </row>
    <row r="337" spans="1:15" ht="14.25" customHeight="1" x14ac:dyDescent="0.55000000000000004">
      <c r="A337" s="16" t="s">
        <v>549</v>
      </c>
      <c r="B337" s="17">
        <v>333</v>
      </c>
      <c r="C337" s="17" t="s">
        <v>20</v>
      </c>
      <c r="D337" s="17" t="s">
        <v>79</v>
      </c>
      <c r="E337" s="17">
        <v>4</v>
      </c>
      <c r="F337" s="18" t="s">
        <v>29</v>
      </c>
      <c r="G337" s="19"/>
      <c r="H337" s="20" t="s">
        <v>36</v>
      </c>
      <c r="I337" s="20"/>
      <c r="J337" s="19" t="s">
        <v>168</v>
      </c>
      <c r="K337" s="16" t="s">
        <v>17</v>
      </c>
      <c r="L337" s="19">
        <f t="shared" si="9"/>
        <v>2</v>
      </c>
      <c r="M337" s="21" t="str">
        <f t="shared" si="5"/>
        <v/>
      </c>
      <c r="N337" s="47" t="str">
        <f t="shared" si="6"/>
        <v>X</v>
      </c>
      <c r="O337" s="48" t="str">
        <f t="shared" si="7"/>
        <v>X</v>
      </c>
    </row>
    <row r="338" spans="1:15" ht="14.25" customHeight="1" x14ac:dyDescent="0.55000000000000004">
      <c r="A338" s="16" t="s">
        <v>550</v>
      </c>
      <c r="B338" s="17">
        <v>334</v>
      </c>
      <c r="C338" s="17" t="s">
        <v>20</v>
      </c>
      <c r="D338" s="17" t="s">
        <v>20</v>
      </c>
      <c r="E338" s="17">
        <v>3</v>
      </c>
      <c r="F338" s="18" t="s">
        <v>29</v>
      </c>
      <c r="G338" s="19"/>
      <c r="H338" s="20" t="s">
        <v>36</v>
      </c>
      <c r="I338" s="20"/>
      <c r="J338" s="19" t="s">
        <v>83</v>
      </c>
      <c r="K338" s="16" t="s">
        <v>17</v>
      </c>
      <c r="L338" s="19">
        <f t="shared" si="9"/>
        <v>2</v>
      </c>
      <c r="M338" s="21" t="str">
        <f t="shared" si="5"/>
        <v/>
      </c>
      <c r="N338" s="21" t="str">
        <f t="shared" si="6"/>
        <v>X</v>
      </c>
      <c r="O338" s="34" t="str">
        <f t="shared" si="7"/>
        <v>X</v>
      </c>
    </row>
    <row r="339" spans="1:15" ht="14.25" customHeight="1" x14ac:dyDescent="0.55000000000000004">
      <c r="A339" s="16" t="s">
        <v>551</v>
      </c>
      <c r="B339" s="17">
        <v>335</v>
      </c>
      <c r="C339" s="17" t="s">
        <v>20</v>
      </c>
      <c r="D339" s="17" t="s">
        <v>20</v>
      </c>
      <c r="E339" s="17">
        <v>55</v>
      </c>
      <c r="F339" s="18" t="s">
        <v>29</v>
      </c>
      <c r="G339" s="19"/>
      <c r="H339" s="20" t="s">
        <v>36</v>
      </c>
      <c r="I339" s="20" t="s">
        <v>74</v>
      </c>
      <c r="J339" s="19" t="s">
        <v>171</v>
      </c>
      <c r="K339" s="16" t="s">
        <v>17</v>
      </c>
      <c r="L339" s="19">
        <f t="shared" si="9"/>
        <v>2</v>
      </c>
      <c r="M339" s="21" t="str">
        <f t="shared" si="5"/>
        <v/>
      </c>
      <c r="N339" s="21" t="str">
        <f t="shared" si="6"/>
        <v>X</v>
      </c>
      <c r="O339" s="34" t="str">
        <f t="shared" si="7"/>
        <v>X</v>
      </c>
    </row>
    <row r="340" spans="1:15" ht="14.25" customHeight="1" x14ac:dyDescent="0.55000000000000004">
      <c r="A340" s="16" t="s">
        <v>552</v>
      </c>
      <c r="B340" s="17">
        <v>336</v>
      </c>
      <c r="C340" s="17" t="s">
        <v>20</v>
      </c>
      <c r="D340" s="17" t="s">
        <v>79</v>
      </c>
      <c r="E340" s="17">
        <v>30</v>
      </c>
      <c r="F340" s="18" t="s">
        <v>29</v>
      </c>
      <c r="G340" s="19"/>
      <c r="H340" s="20" t="s">
        <v>36</v>
      </c>
      <c r="I340" s="20" t="s">
        <v>77</v>
      </c>
      <c r="J340" s="19" t="s">
        <v>173</v>
      </c>
      <c r="K340" s="16" t="s">
        <v>17</v>
      </c>
      <c r="L340" s="19">
        <f t="shared" si="9"/>
        <v>2</v>
      </c>
      <c r="M340" s="21" t="str">
        <f t="shared" si="5"/>
        <v/>
      </c>
      <c r="N340" s="21" t="str">
        <f t="shared" si="6"/>
        <v>X</v>
      </c>
      <c r="O340" s="34" t="str">
        <f t="shared" si="7"/>
        <v>X</v>
      </c>
    </row>
    <row r="341" spans="1:15" ht="14.25" customHeight="1" x14ac:dyDescent="0.55000000000000004">
      <c r="A341" s="16" t="s">
        <v>553</v>
      </c>
      <c r="B341" s="17">
        <v>337</v>
      </c>
      <c r="C341" s="17" t="s">
        <v>20</v>
      </c>
      <c r="D341" s="17" t="s">
        <v>20</v>
      </c>
      <c r="E341" s="17">
        <v>25</v>
      </c>
      <c r="F341" s="18" t="s">
        <v>29</v>
      </c>
      <c r="G341" s="19"/>
      <c r="H341" s="20" t="s">
        <v>36</v>
      </c>
      <c r="I341" s="20"/>
      <c r="J341" s="19" t="s">
        <v>175</v>
      </c>
      <c r="K341" s="16" t="s">
        <v>17</v>
      </c>
      <c r="L341" s="19">
        <f t="shared" si="9"/>
        <v>2</v>
      </c>
      <c r="M341" s="21" t="str">
        <f t="shared" si="5"/>
        <v/>
      </c>
      <c r="N341" s="21" t="str">
        <f t="shared" si="6"/>
        <v>X</v>
      </c>
      <c r="O341" s="34" t="str">
        <f t="shared" si="7"/>
        <v>X</v>
      </c>
    </row>
    <row r="342" spans="1:15" ht="14.25" customHeight="1" x14ac:dyDescent="0.55000000000000004">
      <c r="A342" s="16" t="s">
        <v>554</v>
      </c>
      <c r="B342" s="17">
        <v>338</v>
      </c>
      <c r="C342" s="17" t="s">
        <v>20</v>
      </c>
      <c r="D342" s="17" t="s">
        <v>20</v>
      </c>
      <c r="E342" s="17">
        <v>30</v>
      </c>
      <c r="F342" s="18" t="s">
        <v>29</v>
      </c>
      <c r="G342" s="19"/>
      <c r="H342" s="20" t="s">
        <v>36</v>
      </c>
      <c r="I342" s="20" t="s">
        <v>177</v>
      </c>
      <c r="J342" s="19" t="s">
        <v>178</v>
      </c>
      <c r="K342" s="16" t="s">
        <v>17</v>
      </c>
      <c r="L342" s="19">
        <f t="shared" si="9"/>
        <v>2</v>
      </c>
      <c r="M342" s="21" t="str">
        <f t="shared" si="5"/>
        <v/>
      </c>
      <c r="N342" s="21" t="str">
        <f t="shared" si="6"/>
        <v>X</v>
      </c>
      <c r="O342" s="34" t="str">
        <f t="shared" si="7"/>
        <v>X</v>
      </c>
    </row>
    <row r="343" spans="1:15" ht="14.25" customHeight="1" x14ac:dyDescent="0.55000000000000004">
      <c r="A343" s="16" t="s">
        <v>555</v>
      </c>
      <c r="B343" s="17">
        <v>339</v>
      </c>
      <c r="C343" s="17" t="s">
        <v>20</v>
      </c>
      <c r="D343" s="17" t="s">
        <v>20</v>
      </c>
      <c r="E343" s="17">
        <v>30</v>
      </c>
      <c r="F343" s="18" t="s">
        <v>29</v>
      </c>
      <c r="G343" s="19"/>
      <c r="H343" s="20" t="s">
        <v>36</v>
      </c>
      <c r="I343" s="20"/>
      <c r="J343" s="19" t="s">
        <v>180</v>
      </c>
      <c r="K343" s="16" t="s">
        <v>17</v>
      </c>
      <c r="L343" s="19">
        <f t="shared" si="9"/>
        <v>2</v>
      </c>
      <c r="M343" s="21" t="str">
        <f t="shared" si="5"/>
        <v/>
      </c>
      <c r="N343" s="21" t="str">
        <f t="shared" si="6"/>
        <v>X</v>
      </c>
      <c r="O343" s="34" t="str">
        <f t="shared" si="7"/>
        <v>X</v>
      </c>
    </row>
    <row r="344" spans="1:15" ht="14.25" customHeight="1" x14ac:dyDescent="0.55000000000000004">
      <c r="A344" s="16" t="s">
        <v>556</v>
      </c>
      <c r="B344" s="17">
        <v>340</v>
      </c>
      <c r="C344" s="17" t="s">
        <v>20</v>
      </c>
      <c r="D344" s="17" t="s">
        <v>20</v>
      </c>
      <c r="E344" s="17">
        <v>80</v>
      </c>
      <c r="F344" s="18" t="s">
        <v>29</v>
      </c>
      <c r="G344" s="19"/>
      <c r="H344" s="20" t="s">
        <v>36</v>
      </c>
      <c r="I344" s="20"/>
      <c r="J344" s="19" t="s">
        <v>182</v>
      </c>
      <c r="K344" s="16" t="s">
        <v>17</v>
      </c>
      <c r="L344" s="19">
        <f t="shared" si="9"/>
        <v>2</v>
      </c>
      <c r="M344" s="21" t="str">
        <f t="shared" si="5"/>
        <v/>
      </c>
      <c r="N344" s="21" t="str">
        <f t="shared" si="6"/>
        <v>X</v>
      </c>
      <c r="O344" s="34" t="str">
        <f t="shared" si="7"/>
        <v>X</v>
      </c>
    </row>
    <row r="345" spans="1:15" ht="14.25" customHeight="1" x14ac:dyDescent="0.55000000000000004">
      <c r="A345" s="43" t="s">
        <v>557</v>
      </c>
      <c r="B345" s="17">
        <v>341</v>
      </c>
      <c r="C345" s="17" t="s">
        <v>20</v>
      </c>
      <c r="D345" s="17" t="s">
        <v>20</v>
      </c>
      <c r="E345" s="39">
        <v>120</v>
      </c>
      <c r="F345" s="18" t="s">
        <v>29</v>
      </c>
      <c r="G345" s="41"/>
      <c r="H345" s="20" t="s">
        <v>389</v>
      </c>
      <c r="I345" s="42"/>
      <c r="J345" s="41" t="s">
        <v>558</v>
      </c>
      <c r="K345" s="43" t="s">
        <v>18</v>
      </c>
      <c r="L345" s="41">
        <f t="shared" si="9"/>
        <v>3</v>
      </c>
      <c r="M345" s="44" t="str">
        <f t="shared" si="5"/>
        <v/>
      </c>
      <c r="N345" s="44" t="str">
        <f t="shared" si="6"/>
        <v/>
      </c>
      <c r="O345" s="54" t="str">
        <f t="shared" si="7"/>
        <v>X</v>
      </c>
    </row>
    <row r="346" spans="1:15" ht="14.25" customHeight="1" x14ac:dyDescent="0.55000000000000004">
      <c r="A346" s="43" t="s">
        <v>559</v>
      </c>
      <c r="B346" s="17">
        <v>342</v>
      </c>
      <c r="C346" s="17" t="s">
        <v>20</v>
      </c>
      <c r="D346" s="17" t="s">
        <v>20</v>
      </c>
      <c r="E346" s="39">
        <v>10</v>
      </c>
      <c r="F346" s="40" t="s">
        <v>560</v>
      </c>
      <c r="G346" s="41"/>
      <c r="H346" s="42" t="s">
        <v>12</v>
      </c>
      <c r="I346" s="42"/>
      <c r="J346" s="41" t="s">
        <v>561</v>
      </c>
      <c r="K346" s="43" t="s">
        <v>16</v>
      </c>
      <c r="L346" s="41">
        <f t="shared" si="9"/>
        <v>1</v>
      </c>
      <c r="M346" s="44" t="str">
        <f t="shared" si="5"/>
        <v>X</v>
      </c>
      <c r="N346" s="45" t="str">
        <f t="shared" si="6"/>
        <v>X</v>
      </c>
      <c r="O346" s="46" t="str">
        <f t="shared" si="7"/>
        <v>X</v>
      </c>
    </row>
    <row r="347" spans="1:15" ht="14.25" customHeight="1" x14ac:dyDescent="0.55000000000000004">
      <c r="A347" s="43" t="s">
        <v>562</v>
      </c>
      <c r="B347" s="17">
        <v>343</v>
      </c>
      <c r="C347" s="17" t="s">
        <v>20</v>
      </c>
      <c r="D347" s="17" t="s">
        <v>20</v>
      </c>
      <c r="E347" s="39">
        <v>10</v>
      </c>
      <c r="F347" s="40" t="s">
        <v>563</v>
      </c>
      <c r="G347" s="41"/>
      <c r="H347" s="42" t="s">
        <v>62</v>
      </c>
      <c r="I347" s="42" t="s">
        <v>311</v>
      </c>
      <c r="J347" s="41" t="s">
        <v>561</v>
      </c>
      <c r="K347" s="43" t="s">
        <v>17</v>
      </c>
      <c r="L347" s="41">
        <f t="shared" si="9"/>
        <v>2</v>
      </c>
      <c r="M347" s="44" t="str">
        <f t="shared" si="5"/>
        <v/>
      </c>
      <c r="N347" s="45" t="str">
        <f t="shared" si="6"/>
        <v>X</v>
      </c>
      <c r="O347" s="46" t="str">
        <f t="shared" si="7"/>
        <v>X</v>
      </c>
    </row>
    <row r="348" spans="1:15" ht="14.25" customHeight="1" x14ac:dyDescent="0.55000000000000004">
      <c r="A348" s="43" t="s">
        <v>564</v>
      </c>
      <c r="B348" s="17">
        <v>344</v>
      </c>
      <c r="C348" s="17" t="s">
        <v>20</v>
      </c>
      <c r="D348" s="17" t="s">
        <v>20</v>
      </c>
      <c r="E348" s="39">
        <v>10</v>
      </c>
      <c r="F348" s="40" t="s">
        <v>563</v>
      </c>
      <c r="G348" s="41"/>
      <c r="H348" s="42" t="s">
        <v>62</v>
      </c>
      <c r="I348" s="42" t="s">
        <v>324</v>
      </c>
      <c r="J348" s="41" t="s">
        <v>561</v>
      </c>
      <c r="K348" s="43" t="s">
        <v>17</v>
      </c>
      <c r="L348" s="41">
        <f t="shared" si="9"/>
        <v>2</v>
      </c>
      <c r="M348" s="44" t="str">
        <f t="shared" si="5"/>
        <v/>
      </c>
      <c r="N348" s="45" t="str">
        <f t="shared" si="6"/>
        <v>X</v>
      </c>
      <c r="O348" s="46" t="str">
        <f t="shared" si="7"/>
        <v>X</v>
      </c>
    </row>
    <row r="349" spans="1:15" ht="14.25" customHeight="1" x14ac:dyDescent="0.55000000000000004">
      <c r="A349" s="43" t="s">
        <v>565</v>
      </c>
      <c r="B349" s="17">
        <v>345</v>
      </c>
      <c r="C349" s="17" t="s">
        <v>20</v>
      </c>
      <c r="D349" s="17" t="s">
        <v>20</v>
      </c>
      <c r="E349" s="39">
        <v>10</v>
      </c>
      <c r="F349" s="40" t="s">
        <v>563</v>
      </c>
      <c r="G349" s="41"/>
      <c r="H349" s="42" t="s">
        <v>62</v>
      </c>
      <c r="I349" s="42" t="s">
        <v>336</v>
      </c>
      <c r="J349" s="41" t="s">
        <v>561</v>
      </c>
      <c r="K349" s="43" t="s">
        <v>17</v>
      </c>
      <c r="L349" s="41">
        <f t="shared" si="9"/>
        <v>2</v>
      </c>
      <c r="M349" s="44" t="str">
        <f t="shared" si="5"/>
        <v/>
      </c>
      <c r="N349" s="45" t="str">
        <f t="shared" si="6"/>
        <v>X</v>
      </c>
      <c r="O349" s="46" t="str">
        <f t="shared" si="7"/>
        <v>X</v>
      </c>
    </row>
    <row r="350" spans="1:15" ht="14.25" customHeight="1" x14ac:dyDescent="0.55000000000000004">
      <c r="A350" s="43" t="s">
        <v>566</v>
      </c>
      <c r="B350" s="17">
        <v>346</v>
      </c>
      <c r="C350" s="17" t="s">
        <v>20</v>
      </c>
      <c r="D350" s="17" t="s">
        <v>20</v>
      </c>
      <c r="E350" s="39">
        <v>10</v>
      </c>
      <c r="F350" s="40" t="s">
        <v>563</v>
      </c>
      <c r="G350" s="41"/>
      <c r="H350" s="42" t="s">
        <v>62</v>
      </c>
      <c r="I350" s="42"/>
      <c r="J350" s="41" t="s">
        <v>561</v>
      </c>
      <c r="K350" s="43" t="s">
        <v>17</v>
      </c>
      <c r="L350" s="41">
        <f t="shared" si="9"/>
        <v>2</v>
      </c>
      <c r="M350" s="44" t="str">
        <f t="shared" si="5"/>
        <v/>
      </c>
      <c r="N350" s="45" t="str">
        <f t="shared" si="6"/>
        <v>X</v>
      </c>
      <c r="O350" s="46" t="str">
        <f t="shared" si="7"/>
        <v>X</v>
      </c>
    </row>
    <row r="351" spans="1:15" ht="14.25" customHeight="1" x14ac:dyDescent="0.55000000000000004">
      <c r="A351" s="43" t="s">
        <v>567</v>
      </c>
      <c r="B351" s="17"/>
      <c r="C351" s="17" t="s">
        <v>20</v>
      </c>
      <c r="D351" s="17" t="s">
        <v>20</v>
      </c>
      <c r="E351" s="39">
        <v>3</v>
      </c>
      <c r="F351" s="40" t="s">
        <v>29</v>
      </c>
      <c r="G351" s="41"/>
      <c r="H351" s="42" t="s">
        <v>12</v>
      </c>
      <c r="I351" s="42"/>
      <c r="J351" s="55" t="s">
        <v>568</v>
      </c>
      <c r="K351" s="43" t="s">
        <v>18</v>
      </c>
      <c r="L351" s="41">
        <f t="shared" si="9"/>
        <v>3</v>
      </c>
      <c r="M351" s="44" t="str">
        <f t="shared" si="5"/>
        <v/>
      </c>
      <c r="N351" s="44" t="str">
        <f t="shared" si="6"/>
        <v/>
      </c>
      <c r="O351" s="46" t="str">
        <f t="shared" si="7"/>
        <v>X</v>
      </c>
    </row>
    <row r="352" spans="1:15" ht="14.25" customHeight="1" x14ac:dyDescent="0.55000000000000004">
      <c r="A352" s="43" t="s">
        <v>569</v>
      </c>
      <c r="B352" s="17"/>
      <c r="C352" s="17" t="s">
        <v>20</v>
      </c>
      <c r="D352" s="17" t="s">
        <v>79</v>
      </c>
      <c r="E352" s="39">
        <v>9</v>
      </c>
      <c r="F352" s="40" t="s">
        <v>29</v>
      </c>
      <c r="G352" s="41"/>
      <c r="H352" s="42" t="s">
        <v>12</v>
      </c>
      <c r="I352" s="42"/>
      <c r="J352" s="41">
        <v>12345678</v>
      </c>
      <c r="K352" s="43" t="s">
        <v>18</v>
      </c>
      <c r="L352" s="41">
        <f t="shared" si="9"/>
        <v>3</v>
      </c>
      <c r="M352" s="44" t="str">
        <f t="shared" si="5"/>
        <v/>
      </c>
      <c r="N352" s="44" t="str">
        <f t="shared" si="6"/>
        <v/>
      </c>
      <c r="O352" s="46" t="str">
        <f t="shared" si="7"/>
        <v>X</v>
      </c>
    </row>
    <row r="353" spans="1:15" ht="14.25" customHeight="1" x14ac:dyDescent="0.55000000000000004">
      <c r="A353" s="43" t="s">
        <v>570</v>
      </c>
      <c r="B353" s="17">
        <v>347</v>
      </c>
      <c r="C353" s="17" t="s">
        <v>20</v>
      </c>
      <c r="D353" s="17" t="s">
        <v>20</v>
      </c>
      <c r="E353" s="39">
        <v>0</v>
      </c>
      <c r="F353" s="40" t="s">
        <v>571</v>
      </c>
      <c r="G353" s="41"/>
      <c r="H353" s="42" t="s">
        <v>30</v>
      </c>
      <c r="I353" s="42"/>
      <c r="J353" s="41"/>
      <c r="K353" s="43" t="s">
        <v>16</v>
      </c>
      <c r="L353" s="41">
        <f t="shared" si="9"/>
        <v>1</v>
      </c>
      <c r="M353" s="44" t="str">
        <f t="shared" si="5"/>
        <v>X</v>
      </c>
      <c r="N353" s="45" t="str">
        <f t="shared" si="6"/>
        <v>X</v>
      </c>
      <c r="O353" s="46" t="str">
        <f t="shared" si="7"/>
        <v>X</v>
      </c>
    </row>
    <row r="354" spans="1:15" ht="14.25" customHeight="1" x14ac:dyDescent="0.55000000000000004">
      <c r="A354" s="43" t="s">
        <v>572</v>
      </c>
      <c r="B354" s="17">
        <v>348</v>
      </c>
      <c r="C354" s="17" t="s">
        <v>20</v>
      </c>
      <c r="D354" s="17" t="s">
        <v>20</v>
      </c>
      <c r="E354" s="39">
        <v>0</v>
      </c>
      <c r="F354" s="40" t="s">
        <v>571</v>
      </c>
      <c r="G354" s="41"/>
      <c r="H354" s="42" t="s">
        <v>30</v>
      </c>
      <c r="I354" s="42"/>
      <c r="J354" s="41"/>
      <c r="K354" s="43" t="s">
        <v>16</v>
      </c>
      <c r="L354" s="41">
        <f t="shared" si="9"/>
        <v>1</v>
      </c>
      <c r="M354" s="44" t="str">
        <f t="shared" si="5"/>
        <v>X</v>
      </c>
      <c r="N354" s="45" t="str">
        <f t="shared" si="6"/>
        <v>X</v>
      </c>
      <c r="O354" s="46" t="str">
        <f t="shared" si="7"/>
        <v>X</v>
      </c>
    </row>
    <row r="355" spans="1:15" ht="14.25" customHeight="1" x14ac:dyDescent="0.55000000000000004">
      <c r="A355" s="43" t="s">
        <v>573</v>
      </c>
      <c r="B355" s="17">
        <v>349</v>
      </c>
      <c r="C355" s="17" t="s">
        <v>20</v>
      </c>
      <c r="D355" s="17" t="s">
        <v>20</v>
      </c>
      <c r="E355" s="39">
        <v>0</v>
      </c>
      <c r="F355" s="40" t="s">
        <v>571</v>
      </c>
      <c r="G355" s="41"/>
      <c r="H355" s="42" t="s">
        <v>30</v>
      </c>
      <c r="I355" s="42"/>
      <c r="J355" s="41"/>
      <c r="K355" s="43" t="s">
        <v>16</v>
      </c>
      <c r="L355" s="41">
        <f t="shared" si="9"/>
        <v>1</v>
      </c>
      <c r="M355" s="44" t="str">
        <f t="shared" si="5"/>
        <v>X</v>
      </c>
      <c r="N355" s="45" t="str">
        <f t="shared" si="6"/>
        <v>X</v>
      </c>
      <c r="O355" s="46" t="str">
        <f t="shared" si="7"/>
        <v>X</v>
      </c>
    </row>
    <row r="356" spans="1:15" ht="14.25" customHeight="1" x14ac:dyDescent="0.55000000000000004">
      <c r="A356" s="43" t="s">
        <v>574</v>
      </c>
      <c r="B356" s="17">
        <v>350</v>
      </c>
      <c r="C356" s="17" t="s">
        <v>20</v>
      </c>
      <c r="D356" s="17" t="s">
        <v>20</v>
      </c>
      <c r="E356" s="39">
        <v>0</v>
      </c>
      <c r="F356" s="40" t="s">
        <v>571</v>
      </c>
      <c r="G356" s="41"/>
      <c r="H356" s="42" t="s">
        <v>30</v>
      </c>
      <c r="I356" s="42"/>
      <c r="J356" s="41"/>
      <c r="K356" s="43" t="s">
        <v>16</v>
      </c>
      <c r="L356" s="41">
        <f t="shared" si="9"/>
        <v>1</v>
      </c>
      <c r="M356" s="44" t="str">
        <f t="shared" si="5"/>
        <v>X</v>
      </c>
      <c r="N356" s="45" t="str">
        <f t="shared" si="6"/>
        <v>X</v>
      </c>
      <c r="O356" s="46" t="str">
        <f t="shared" si="7"/>
        <v>X</v>
      </c>
    </row>
    <row r="357" spans="1:15" ht="14.25" customHeight="1" x14ac:dyDescent="0.55000000000000004">
      <c r="A357" s="43" t="s">
        <v>575</v>
      </c>
      <c r="B357" s="17">
        <v>351</v>
      </c>
      <c r="C357" s="17" t="s">
        <v>20</v>
      </c>
      <c r="D357" s="17" t="s">
        <v>20</v>
      </c>
      <c r="E357" s="39">
        <v>0</v>
      </c>
      <c r="F357" s="40" t="s">
        <v>571</v>
      </c>
      <c r="G357" s="41"/>
      <c r="H357" s="42" t="s">
        <v>30</v>
      </c>
      <c r="I357" s="42"/>
      <c r="J357" s="41"/>
      <c r="K357" s="43" t="s">
        <v>16</v>
      </c>
      <c r="L357" s="41">
        <f t="shared" si="9"/>
        <v>1</v>
      </c>
      <c r="M357" s="44" t="str">
        <f t="shared" si="5"/>
        <v>X</v>
      </c>
      <c r="N357" s="45" t="str">
        <f t="shared" si="6"/>
        <v>X</v>
      </c>
      <c r="O357" s="46" t="str">
        <f t="shared" si="7"/>
        <v>X</v>
      </c>
    </row>
    <row r="358" spans="1:15" ht="14.25" customHeight="1" x14ac:dyDescent="0.55000000000000004">
      <c r="A358" s="43" t="s">
        <v>576</v>
      </c>
      <c r="B358" s="17">
        <v>352</v>
      </c>
      <c r="C358" s="17" t="s">
        <v>20</v>
      </c>
      <c r="D358" s="17" t="s">
        <v>20</v>
      </c>
      <c r="E358" s="39">
        <v>0</v>
      </c>
      <c r="F358" s="40" t="s">
        <v>571</v>
      </c>
      <c r="G358" s="41"/>
      <c r="H358" s="42" t="s">
        <v>30</v>
      </c>
      <c r="I358" s="42"/>
      <c r="J358" s="41"/>
      <c r="K358" s="43" t="s">
        <v>16</v>
      </c>
      <c r="L358" s="41">
        <f t="shared" si="9"/>
        <v>1</v>
      </c>
      <c r="M358" s="44" t="str">
        <f t="shared" si="5"/>
        <v>X</v>
      </c>
      <c r="N358" s="45" t="str">
        <f t="shared" si="6"/>
        <v>X</v>
      </c>
      <c r="O358" s="46" t="str">
        <f t="shared" si="7"/>
        <v>X</v>
      </c>
    </row>
    <row r="359" spans="1:15" ht="14.25" customHeight="1" x14ac:dyDescent="0.55000000000000004">
      <c r="A359" s="43" t="s">
        <v>577</v>
      </c>
      <c r="B359" s="17">
        <v>353</v>
      </c>
      <c r="C359" s="17" t="s">
        <v>20</v>
      </c>
      <c r="D359" s="17" t="s">
        <v>20</v>
      </c>
      <c r="E359" s="39">
        <v>0</v>
      </c>
      <c r="F359" s="40" t="s">
        <v>571</v>
      </c>
      <c r="G359" s="41"/>
      <c r="H359" s="42" t="s">
        <v>30</v>
      </c>
      <c r="I359" s="42"/>
      <c r="J359" s="41"/>
      <c r="K359" s="43" t="s">
        <v>16</v>
      </c>
      <c r="L359" s="41">
        <f t="shared" si="9"/>
        <v>1</v>
      </c>
      <c r="M359" s="44" t="str">
        <f t="shared" si="5"/>
        <v>X</v>
      </c>
      <c r="N359" s="45" t="str">
        <f t="shared" si="6"/>
        <v>X</v>
      </c>
      <c r="O359" s="46" t="str">
        <f t="shared" si="7"/>
        <v>X</v>
      </c>
    </row>
    <row r="360" spans="1:15" ht="14.25" customHeight="1" x14ac:dyDescent="0.55000000000000004">
      <c r="A360" s="43" t="s">
        <v>578</v>
      </c>
      <c r="B360" s="17">
        <v>354</v>
      </c>
      <c r="C360" s="17" t="s">
        <v>20</v>
      </c>
      <c r="D360" s="17" t="s">
        <v>20</v>
      </c>
      <c r="E360" s="39">
        <v>0</v>
      </c>
      <c r="F360" s="40" t="s">
        <v>571</v>
      </c>
      <c r="G360" s="41"/>
      <c r="H360" s="42" t="s">
        <v>30</v>
      </c>
      <c r="I360" s="42"/>
      <c r="J360" s="41"/>
      <c r="K360" s="43" t="s">
        <v>16</v>
      </c>
      <c r="L360" s="41">
        <f t="shared" si="9"/>
        <v>1</v>
      </c>
      <c r="M360" s="44" t="str">
        <f t="shared" si="5"/>
        <v>X</v>
      </c>
      <c r="N360" s="45" t="str">
        <f t="shared" si="6"/>
        <v>X</v>
      </c>
      <c r="O360" s="46" t="str">
        <f t="shared" si="7"/>
        <v>X</v>
      </c>
    </row>
    <row r="361" spans="1:15" ht="14.25" customHeight="1" x14ac:dyDescent="0.55000000000000004">
      <c r="A361" s="43" t="s">
        <v>579</v>
      </c>
      <c r="B361" s="17">
        <v>355</v>
      </c>
      <c r="C361" s="17" t="s">
        <v>20</v>
      </c>
      <c r="D361" s="17" t="s">
        <v>20</v>
      </c>
      <c r="E361" s="39">
        <v>0</v>
      </c>
      <c r="F361" s="40" t="s">
        <v>571</v>
      </c>
      <c r="G361" s="41"/>
      <c r="H361" s="42" t="s">
        <v>30</v>
      </c>
      <c r="I361" s="42"/>
      <c r="J361" s="41"/>
      <c r="K361" s="43" t="s">
        <v>16</v>
      </c>
      <c r="L361" s="41">
        <f t="shared" si="9"/>
        <v>1</v>
      </c>
      <c r="M361" s="44" t="str">
        <f t="shared" si="5"/>
        <v>X</v>
      </c>
      <c r="N361" s="45" t="str">
        <f t="shared" si="6"/>
        <v>X</v>
      </c>
      <c r="O361" s="46" t="str">
        <f t="shared" si="7"/>
        <v>X</v>
      </c>
    </row>
    <row r="362" spans="1:15" ht="14.25" customHeight="1" x14ac:dyDescent="0.55000000000000004">
      <c r="A362" s="43" t="s">
        <v>580</v>
      </c>
      <c r="B362" s="17">
        <v>356</v>
      </c>
      <c r="C362" s="17" t="s">
        <v>20</v>
      </c>
      <c r="D362" s="17" t="s">
        <v>20</v>
      </c>
      <c r="E362" s="39">
        <v>0</v>
      </c>
      <c r="F362" s="40" t="s">
        <v>571</v>
      </c>
      <c r="G362" s="41"/>
      <c r="H362" s="42" t="s">
        <v>30</v>
      </c>
      <c r="I362" s="42"/>
      <c r="J362" s="41"/>
      <c r="K362" s="43" t="s">
        <v>16</v>
      </c>
      <c r="L362" s="41">
        <f t="shared" si="9"/>
        <v>1</v>
      </c>
      <c r="M362" s="44" t="str">
        <f t="shared" si="5"/>
        <v>X</v>
      </c>
      <c r="N362" s="45" t="str">
        <f t="shared" si="6"/>
        <v>X</v>
      </c>
      <c r="O362" s="46" t="str">
        <f t="shared" si="7"/>
        <v>X</v>
      </c>
    </row>
    <row r="363" spans="1:15" ht="14.25" customHeight="1" x14ac:dyDescent="0.55000000000000004">
      <c r="A363" s="43" t="s">
        <v>581</v>
      </c>
      <c r="B363" s="17">
        <v>357</v>
      </c>
      <c r="C363" s="17" t="s">
        <v>20</v>
      </c>
      <c r="D363" s="17" t="s">
        <v>20</v>
      </c>
      <c r="E363" s="39">
        <v>0</v>
      </c>
      <c r="F363" s="40" t="s">
        <v>571</v>
      </c>
      <c r="G363" s="41"/>
      <c r="H363" s="42" t="s">
        <v>30</v>
      </c>
      <c r="I363" s="42"/>
      <c r="J363" s="41"/>
      <c r="K363" s="43" t="s">
        <v>16</v>
      </c>
      <c r="L363" s="41">
        <f t="shared" si="9"/>
        <v>1</v>
      </c>
      <c r="M363" s="44" t="str">
        <f t="shared" si="5"/>
        <v>X</v>
      </c>
      <c r="N363" s="45" t="str">
        <f t="shared" si="6"/>
        <v>X</v>
      </c>
      <c r="O363" s="46" t="str">
        <f t="shared" si="7"/>
        <v>X</v>
      </c>
    </row>
    <row r="364" spans="1:15" ht="14.25" customHeight="1" x14ac:dyDescent="0.55000000000000004">
      <c r="A364" s="43" t="s">
        <v>582</v>
      </c>
      <c r="B364" s="17">
        <v>358</v>
      </c>
      <c r="C364" s="17" t="s">
        <v>20</v>
      </c>
      <c r="D364" s="17" t="s">
        <v>20</v>
      </c>
      <c r="E364" s="39">
        <v>0</v>
      </c>
      <c r="F364" s="40" t="s">
        <v>571</v>
      </c>
      <c r="G364" s="41"/>
      <c r="H364" s="42" t="s">
        <v>30</v>
      </c>
      <c r="I364" s="42"/>
      <c r="J364" s="41"/>
      <c r="K364" s="43" t="s">
        <v>16</v>
      </c>
      <c r="L364" s="41">
        <f t="shared" si="9"/>
        <v>1</v>
      </c>
      <c r="M364" s="44" t="str">
        <f t="shared" si="5"/>
        <v>X</v>
      </c>
      <c r="N364" s="45" t="str">
        <f t="shared" si="6"/>
        <v>X</v>
      </c>
      <c r="O364" s="46" t="str">
        <f t="shared" si="7"/>
        <v>X</v>
      </c>
    </row>
    <row r="365" spans="1:15" ht="14.25" customHeight="1" x14ac:dyDescent="0.55000000000000004">
      <c r="A365" s="43" t="s">
        <v>583</v>
      </c>
      <c r="B365" s="17">
        <v>359</v>
      </c>
      <c r="C365" s="17" t="s">
        <v>20</v>
      </c>
      <c r="D365" s="17" t="s">
        <v>20</v>
      </c>
      <c r="E365" s="39">
        <v>0</v>
      </c>
      <c r="F365" s="40" t="s">
        <v>571</v>
      </c>
      <c r="G365" s="41"/>
      <c r="H365" s="42" t="s">
        <v>30</v>
      </c>
      <c r="I365" s="42"/>
      <c r="J365" s="41"/>
      <c r="K365" s="43" t="s">
        <v>16</v>
      </c>
      <c r="L365" s="41">
        <f t="shared" si="9"/>
        <v>1</v>
      </c>
      <c r="M365" s="44" t="str">
        <f t="shared" si="5"/>
        <v>X</v>
      </c>
      <c r="N365" s="45" t="str">
        <f t="shared" si="6"/>
        <v>X</v>
      </c>
      <c r="O365" s="46" t="str">
        <f t="shared" si="7"/>
        <v>X</v>
      </c>
    </row>
    <row r="366" spans="1:15" ht="14.25" customHeight="1" x14ac:dyDescent="0.55000000000000004">
      <c r="A366" s="43" t="s">
        <v>584</v>
      </c>
      <c r="B366" s="17">
        <v>360</v>
      </c>
      <c r="C366" s="17" t="s">
        <v>20</v>
      </c>
      <c r="D366" s="17" t="s">
        <v>20</v>
      </c>
      <c r="E366" s="39">
        <v>0</v>
      </c>
      <c r="F366" s="40" t="s">
        <v>571</v>
      </c>
      <c r="G366" s="41"/>
      <c r="H366" s="42" t="s">
        <v>30</v>
      </c>
      <c r="I366" s="42"/>
      <c r="J366" s="41"/>
      <c r="K366" s="43" t="s">
        <v>16</v>
      </c>
      <c r="L366" s="41">
        <f t="shared" si="9"/>
        <v>1</v>
      </c>
      <c r="M366" s="44" t="str">
        <f t="shared" si="5"/>
        <v>X</v>
      </c>
      <c r="N366" s="45" t="str">
        <f t="shared" si="6"/>
        <v>X</v>
      </c>
      <c r="O366" s="46" t="str">
        <f t="shared" si="7"/>
        <v>X</v>
      </c>
    </row>
    <row r="367" spans="1:15" ht="14.25" customHeight="1" x14ac:dyDescent="0.55000000000000004">
      <c r="A367" s="43" t="s">
        <v>585</v>
      </c>
      <c r="B367" s="17">
        <v>361</v>
      </c>
      <c r="C367" s="17" t="s">
        <v>20</v>
      </c>
      <c r="D367" s="17" t="s">
        <v>20</v>
      </c>
      <c r="E367" s="39">
        <v>0</v>
      </c>
      <c r="F367" s="40" t="s">
        <v>571</v>
      </c>
      <c r="G367" s="41"/>
      <c r="H367" s="42" t="s">
        <v>30</v>
      </c>
      <c r="I367" s="42"/>
      <c r="J367" s="41"/>
      <c r="K367" s="43" t="s">
        <v>16</v>
      </c>
      <c r="L367" s="41">
        <f t="shared" si="9"/>
        <v>1</v>
      </c>
      <c r="M367" s="44" t="str">
        <f t="shared" si="5"/>
        <v>X</v>
      </c>
      <c r="N367" s="45" t="str">
        <f t="shared" si="6"/>
        <v>X</v>
      </c>
      <c r="O367" s="54" t="str">
        <f t="shared" si="7"/>
        <v>X</v>
      </c>
    </row>
    <row r="368" spans="1:15" s="129" customFormat="1" ht="14.25" customHeight="1" x14ac:dyDescent="0.55000000000000004">
      <c r="A368" s="43" t="s">
        <v>938</v>
      </c>
      <c r="B368" s="130"/>
      <c r="C368" s="17" t="s">
        <v>20</v>
      </c>
      <c r="D368" s="17" t="s">
        <v>20</v>
      </c>
      <c r="E368" s="39">
        <v>1</v>
      </c>
      <c r="F368" s="40" t="s">
        <v>571</v>
      </c>
      <c r="G368" s="41"/>
      <c r="H368" s="42" t="s">
        <v>30</v>
      </c>
      <c r="I368" s="42"/>
      <c r="J368" s="41"/>
      <c r="K368" s="43" t="s">
        <v>16</v>
      </c>
      <c r="L368" s="41">
        <f t="shared" ref="L368:L371" si="10">IF(K368="Public",1,IF(K368="FOUO (CUI)",2,IF(K368="Sensitive (CUI)",3,IF(K368="System-Only",4))))</f>
        <v>1</v>
      </c>
      <c r="M368" s="44" t="str">
        <f t="shared" si="5"/>
        <v>X</v>
      </c>
      <c r="N368" s="131"/>
      <c r="O368" s="131"/>
    </row>
    <row r="369" spans="1:15" s="129" customFormat="1" ht="14.25" customHeight="1" x14ac:dyDescent="0.55000000000000004">
      <c r="A369" s="43" t="s">
        <v>939</v>
      </c>
      <c r="B369" s="130"/>
      <c r="C369" s="17" t="s">
        <v>20</v>
      </c>
      <c r="D369" s="17" t="s">
        <v>20</v>
      </c>
      <c r="E369" s="39">
        <v>2</v>
      </c>
      <c r="F369" s="40" t="s">
        <v>571</v>
      </c>
      <c r="G369" s="41"/>
      <c r="H369" s="42" t="s">
        <v>30</v>
      </c>
      <c r="I369" s="42"/>
      <c r="J369" s="41"/>
      <c r="K369" s="43" t="s">
        <v>16</v>
      </c>
      <c r="L369" s="41">
        <f t="shared" si="10"/>
        <v>1</v>
      </c>
      <c r="M369" s="44" t="str">
        <f t="shared" si="5"/>
        <v>X</v>
      </c>
      <c r="N369" s="131"/>
      <c r="O369" s="131"/>
    </row>
    <row r="370" spans="1:15" s="129" customFormat="1" ht="14.25" customHeight="1" x14ac:dyDescent="0.55000000000000004">
      <c r="A370" s="43" t="s">
        <v>940</v>
      </c>
      <c r="B370" s="130"/>
      <c r="C370" s="17" t="s">
        <v>20</v>
      </c>
      <c r="D370" s="17" t="s">
        <v>20</v>
      </c>
      <c r="E370" s="39">
        <v>3</v>
      </c>
      <c r="F370" s="40" t="s">
        <v>571</v>
      </c>
      <c r="G370" s="41"/>
      <c r="H370" s="42" t="s">
        <v>30</v>
      </c>
      <c r="I370" s="42"/>
      <c r="J370" s="41"/>
      <c r="K370" s="43" t="s">
        <v>16</v>
      </c>
      <c r="L370" s="41">
        <f t="shared" si="10"/>
        <v>1</v>
      </c>
      <c r="M370" s="44" t="str">
        <f t="shared" si="5"/>
        <v>X</v>
      </c>
      <c r="N370" s="131"/>
      <c r="O370" s="131"/>
    </row>
    <row r="371" spans="1:15" s="129" customFormat="1" ht="14.25" customHeight="1" x14ac:dyDescent="0.55000000000000004">
      <c r="A371" s="43" t="s">
        <v>941</v>
      </c>
      <c r="B371" s="130"/>
      <c r="C371" s="17" t="s">
        <v>20</v>
      </c>
      <c r="D371" s="17" t="s">
        <v>20</v>
      </c>
      <c r="E371" s="39">
        <v>4</v>
      </c>
      <c r="F371" s="40" t="s">
        <v>571</v>
      </c>
      <c r="G371" s="41"/>
      <c r="H371" s="42" t="s">
        <v>30</v>
      </c>
      <c r="I371" s="42"/>
      <c r="J371" s="41"/>
      <c r="K371" s="43" t="s">
        <v>16</v>
      </c>
      <c r="L371" s="41">
        <f t="shared" si="10"/>
        <v>1</v>
      </c>
      <c r="M371" s="44" t="str">
        <f t="shared" si="5"/>
        <v>X</v>
      </c>
      <c r="N371" s="131"/>
      <c r="O371" s="131"/>
    </row>
    <row r="372" spans="1:15" ht="14.25" customHeight="1" x14ac:dyDescent="0.55000000000000004">
      <c r="A372" s="56" t="s">
        <v>586</v>
      </c>
      <c r="B372" s="57">
        <v>362</v>
      </c>
      <c r="C372" s="57" t="s">
        <v>20</v>
      </c>
      <c r="D372" s="57" t="s">
        <v>20</v>
      </c>
      <c r="E372" s="57">
        <v>4</v>
      </c>
      <c r="F372" s="58" t="s">
        <v>587</v>
      </c>
      <c r="G372" s="59"/>
      <c r="H372" s="60" t="s">
        <v>12</v>
      </c>
      <c r="I372" s="60"/>
      <c r="J372" s="61" t="s">
        <v>588</v>
      </c>
      <c r="K372" s="56" t="s">
        <v>16</v>
      </c>
      <c r="L372" s="59">
        <v>1</v>
      </c>
      <c r="M372" s="62" t="str">
        <f t="shared" si="5"/>
        <v>X</v>
      </c>
      <c r="N372" s="62" t="str">
        <f t="shared" si="6"/>
        <v>X</v>
      </c>
      <c r="O372" s="63" t="str">
        <f t="shared" si="7"/>
        <v>X</v>
      </c>
    </row>
    <row r="373" spans="1:15" ht="14.25" customHeight="1" x14ac:dyDescent="0.55000000000000004"/>
    <row r="374" spans="1:15" ht="14.25" customHeight="1" x14ac:dyDescent="0.55000000000000004">
      <c r="A374" s="64" t="s">
        <v>942</v>
      </c>
    </row>
    <row r="375" spans="1:15" ht="14.25" customHeight="1" x14ac:dyDescent="0.55000000000000004"/>
    <row r="376" spans="1:15" ht="14.25" customHeight="1" x14ac:dyDescent="0.55000000000000004"/>
    <row r="377" spans="1:15" ht="14.25" customHeight="1" x14ac:dyDescent="0.55000000000000004"/>
    <row r="378" spans="1:15" ht="14.25" customHeight="1" x14ac:dyDescent="0.55000000000000004"/>
    <row r="379" spans="1:15" ht="14.25" customHeight="1" x14ac:dyDescent="0.55000000000000004"/>
    <row r="380" spans="1:15" ht="14.25" customHeight="1" x14ac:dyDescent="0.55000000000000004"/>
    <row r="381" spans="1:15" ht="14.25" customHeight="1" x14ac:dyDescent="0.55000000000000004"/>
    <row r="382" spans="1:15" ht="14.25" customHeight="1" x14ac:dyDescent="0.55000000000000004"/>
    <row r="383" spans="1:15" ht="14.25" customHeight="1" x14ac:dyDescent="0.55000000000000004"/>
    <row r="384" spans="1:15"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row r="999" ht="15.75" customHeight="1" x14ac:dyDescent="0.55000000000000004"/>
    <row r="1000" ht="15.75" customHeight="1" x14ac:dyDescent="0.55000000000000004"/>
    <row r="1001" ht="15.75" customHeight="1" x14ac:dyDescent="0.55000000000000004"/>
    <row r="1002" ht="15.75" customHeight="1" x14ac:dyDescent="0.55000000000000004"/>
    <row r="1003" ht="15.75" customHeight="1" x14ac:dyDescent="0.55000000000000004"/>
    <row r="1004" ht="15.75" customHeight="1" x14ac:dyDescent="0.55000000000000004"/>
  </sheetData>
  <autoFilter ref="A4:O372" xr:uid="{00000000-0009-0000-0000-000000000000}"/>
  <mergeCells count="3">
    <mergeCell ref="A2:O2"/>
    <mergeCell ref="C3:J3"/>
    <mergeCell ref="K3:O3"/>
  </mergeCells>
  <phoneticPr fontId="21" type="noConversion"/>
  <conditionalFormatting sqref="M5:O372">
    <cfRule type="expression" dxfId="1" priority="1">
      <formula>(M5="X")</formula>
    </cfRule>
    <cfRule type="cellIs" dxfId="0" priority="2" operator="equal">
      <formula>"CSV Only"</formula>
    </cfRule>
  </conditionalFormatting>
  <dataValidations count="1">
    <dataValidation type="list" allowBlank="1" showErrorMessage="1" sqref="H288" xr:uid="{00000000-0002-0000-0000-000001000000}">
      <formula1>MandatoryOptional</formula1>
    </dataValidation>
  </dataValidations>
  <pageMargins left="0.75" right="0.75" top="1" bottom="1"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'Drop Down List'!$B$3:$B$12</xm:f>
          </x14:formula1>
          <xm:sqref>H5:H287 H289:H372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1:Z1000"/>
  <sheetViews>
    <sheetView topLeftCell="A15" workbookViewId="0">
      <selection activeCell="C250" sqref="C250"/>
    </sheetView>
  </sheetViews>
  <sheetFormatPr defaultColWidth="14.41796875" defaultRowHeight="15" customHeight="1" x14ac:dyDescent="0.55000000000000004"/>
  <cols>
    <col min="1" max="1" width="9.26171875" customWidth="1"/>
    <col min="2" max="2" width="11.578125" customWidth="1"/>
    <col min="3" max="3" width="31.578125" customWidth="1"/>
    <col min="4" max="4" width="46.26171875" customWidth="1"/>
    <col min="5" max="5" width="18.578125" customWidth="1"/>
    <col min="6" max="6" width="17.578125" customWidth="1"/>
    <col min="7" max="7" width="9.26171875" customWidth="1"/>
    <col min="8" max="8" width="82.578125" customWidth="1"/>
    <col min="9" max="26" width="9.26171875" customWidth="1"/>
  </cols>
  <sheetData>
    <row r="1" spans="1:26" ht="12" customHeight="1" x14ac:dyDescent="0.55000000000000004">
      <c r="A1" s="5"/>
      <c r="B1" s="5"/>
      <c r="C1" s="5"/>
      <c r="D1" s="5"/>
      <c r="E1" s="5"/>
      <c r="F1" s="5"/>
      <c r="G1" s="5"/>
      <c r="H1" s="5"/>
      <c r="I1" s="5"/>
      <c r="J1" s="5"/>
      <c r="K1" s="5"/>
      <c r="L1" s="5"/>
      <c r="M1" s="5"/>
      <c r="N1" s="5"/>
      <c r="O1" s="5"/>
      <c r="P1" s="5"/>
      <c r="Q1" s="5"/>
      <c r="R1" s="5"/>
      <c r="S1" s="5"/>
      <c r="T1" s="5"/>
      <c r="U1" s="5"/>
      <c r="V1" s="5"/>
      <c r="W1" s="5"/>
      <c r="X1" s="5"/>
      <c r="Y1" s="5"/>
      <c r="Z1" s="5"/>
    </row>
    <row r="2" spans="1:26" ht="26.25" customHeight="1" x14ac:dyDescent="1">
      <c r="A2" s="5"/>
      <c r="B2" s="65" t="s">
        <v>589</v>
      </c>
      <c r="C2" s="5"/>
      <c r="D2" s="5"/>
      <c r="E2" s="5"/>
      <c r="F2" s="5"/>
      <c r="G2" s="5"/>
      <c r="H2" s="5"/>
      <c r="I2" s="5"/>
      <c r="J2" s="5"/>
      <c r="K2" s="5"/>
      <c r="L2" s="5"/>
      <c r="M2" s="5"/>
      <c r="N2" s="5"/>
      <c r="O2" s="5"/>
      <c r="P2" s="5"/>
      <c r="Q2" s="5"/>
      <c r="R2" s="5"/>
      <c r="S2" s="5"/>
      <c r="T2" s="5"/>
      <c r="U2" s="5"/>
      <c r="V2" s="5"/>
      <c r="W2" s="5"/>
      <c r="X2" s="5"/>
      <c r="Y2" s="5"/>
      <c r="Z2" s="5"/>
    </row>
    <row r="3" spans="1:26" ht="12" customHeight="1" x14ac:dyDescent="0.55000000000000004">
      <c r="A3" s="5"/>
      <c r="B3" s="5"/>
      <c r="C3" s="5"/>
      <c r="D3" s="5"/>
      <c r="E3" s="5"/>
      <c r="F3" s="5"/>
      <c r="G3" s="5"/>
      <c r="H3" s="5"/>
      <c r="I3" s="5"/>
      <c r="J3" s="5"/>
      <c r="K3" s="5"/>
      <c r="L3" s="5"/>
      <c r="M3" s="5"/>
      <c r="N3" s="5"/>
      <c r="O3" s="5"/>
      <c r="P3" s="5"/>
      <c r="Q3" s="5"/>
      <c r="R3" s="5"/>
      <c r="S3" s="5"/>
      <c r="T3" s="5"/>
      <c r="U3" s="5"/>
      <c r="V3" s="5"/>
      <c r="W3" s="5"/>
      <c r="X3" s="5"/>
      <c r="Y3" s="5"/>
      <c r="Z3" s="5"/>
    </row>
    <row r="4" spans="1:26" ht="12" customHeight="1" x14ac:dyDescent="0.55000000000000004">
      <c r="A4" s="5"/>
      <c r="B4" s="66" t="s">
        <v>590</v>
      </c>
      <c r="C4" s="67" t="s">
        <v>591</v>
      </c>
      <c r="D4" s="68" t="s">
        <v>592</v>
      </c>
      <c r="E4" s="5"/>
      <c r="F4" s="5" t="s">
        <v>593</v>
      </c>
      <c r="G4" s="5"/>
      <c r="H4" s="5"/>
      <c r="I4" s="5"/>
      <c r="J4" s="5"/>
      <c r="K4" s="5"/>
      <c r="L4" s="5"/>
      <c r="M4" s="5"/>
      <c r="N4" s="5"/>
      <c r="O4" s="5"/>
      <c r="P4" s="5"/>
      <c r="Q4" s="5"/>
      <c r="R4" s="5"/>
      <c r="S4" s="5"/>
      <c r="T4" s="5"/>
      <c r="U4" s="5"/>
      <c r="V4" s="5"/>
      <c r="W4" s="5"/>
      <c r="X4" s="5"/>
      <c r="Y4" s="5"/>
      <c r="Z4" s="5"/>
    </row>
    <row r="5" spans="1:26" ht="12" customHeight="1" x14ac:dyDescent="0.55000000000000004">
      <c r="A5" s="5"/>
      <c r="B5" s="69" t="s">
        <v>594</v>
      </c>
      <c r="C5" s="143" t="s">
        <v>595</v>
      </c>
      <c r="D5" s="144"/>
      <c r="E5" s="5"/>
      <c r="F5" s="5" t="s">
        <v>596</v>
      </c>
      <c r="G5" s="5"/>
      <c r="H5" s="5"/>
      <c r="I5" s="5"/>
      <c r="J5" s="5"/>
      <c r="K5" s="5"/>
      <c r="L5" s="5"/>
      <c r="M5" s="5"/>
      <c r="N5" s="5"/>
      <c r="O5" s="5"/>
      <c r="P5" s="5"/>
      <c r="Q5" s="5"/>
      <c r="R5" s="5"/>
      <c r="S5" s="5"/>
      <c r="T5" s="5"/>
      <c r="U5" s="5"/>
      <c r="V5" s="5"/>
      <c r="W5" s="5"/>
      <c r="X5" s="5"/>
      <c r="Y5" s="5"/>
      <c r="Z5" s="5"/>
    </row>
    <row r="6" spans="1:26" ht="12" customHeight="1" x14ac:dyDescent="0.55000000000000004">
      <c r="A6" s="5"/>
      <c r="B6" s="70" t="s">
        <v>594</v>
      </c>
      <c r="C6" s="71">
        <v>1</v>
      </c>
      <c r="D6" s="72" t="s">
        <v>597</v>
      </c>
      <c r="E6" s="5"/>
      <c r="F6" s="5"/>
      <c r="G6" s="5"/>
      <c r="H6" s="5"/>
      <c r="I6" s="5"/>
      <c r="J6" s="5"/>
      <c r="K6" s="5"/>
      <c r="L6" s="5"/>
      <c r="M6" s="5"/>
      <c r="N6" s="5"/>
      <c r="O6" s="5"/>
      <c r="P6" s="5"/>
      <c r="Q6" s="5"/>
      <c r="R6" s="5"/>
      <c r="S6" s="5"/>
      <c r="T6" s="5"/>
      <c r="U6" s="5"/>
      <c r="V6" s="5"/>
      <c r="W6" s="5"/>
      <c r="X6" s="5"/>
      <c r="Y6" s="5"/>
      <c r="Z6" s="5"/>
    </row>
    <row r="7" spans="1:26" ht="12" customHeight="1" x14ac:dyDescent="0.55000000000000004">
      <c r="A7" s="5"/>
      <c r="B7" s="70" t="s">
        <v>594</v>
      </c>
      <c r="C7" s="71">
        <v>2</v>
      </c>
      <c r="D7" s="72" t="s">
        <v>598</v>
      </c>
      <c r="E7" s="5"/>
      <c r="F7" s="5"/>
      <c r="G7" s="5"/>
      <c r="H7" s="5"/>
      <c r="I7" s="5"/>
      <c r="J7" s="5"/>
      <c r="K7" s="5"/>
      <c r="L7" s="5"/>
      <c r="M7" s="5"/>
      <c r="N7" s="5"/>
      <c r="O7" s="5"/>
      <c r="P7" s="5"/>
      <c r="Q7" s="5"/>
      <c r="R7" s="5"/>
      <c r="S7" s="5"/>
      <c r="T7" s="5"/>
      <c r="U7" s="5"/>
      <c r="V7" s="5"/>
      <c r="W7" s="5"/>
      <c r="X7" s="5"/>
      <c r="Y7" s="5"/>
      <c r="Z7" s="5"/>
    </row>
    <row r="8" spans="1:26" ht="12" customHeight="1" x14ac:dyDescent="0.55000000000000004">
      <c r="A8" s="5"/>
      <c r="B8" s="70" t="s">
        <v>594</v>
      </c>
      <c r="C8" s="71">
        <v>3</v>
      </c>
      <c r="D8" s="72" t="s">
        <v>599</v>
      </c>
      <c r="E8" s="5"/>
      <c r="F8" s="5" t="s">
        <v>600</v>
      </c>
      <c r="G8" s="5"/>
      <c r="H8" s="5"/>
      <c r="I8" s="5"/>
      <c r="J8" s="5"/>
      <c r="K8" s="5"/>
      <c r="L8" s="5"/>
      <c r="M8" s="5"/>
      <c r="N8" s="5"/>
      <c r="O8" s="5"/>
      <c r="P8" s="5"/>
      <c r="Q8" s="5"/>
      <c r="R8" s="5"/>
      <c r="S8" s="5"/>
      <c r="T8" s="5"/>
      <c r="U8" s="5"/>
      <c r="V8" s="5"/>
      <c r="W8" s="5"/>
      <c r="X8" s="5"/>
      <c r="Y8" s="5"/>
      <c r="Z8" s="5"/>
    </row>
    <row r="9" spans="1:26" ht="12" customHeight="1" x14ac:dyDescent="0.55000000000000004">
      <c r="A9" s="5"/>
      <c r="B9" s="70" t="s">
        <v>594</v>
      </c>
      <c r="C9" s="71">
        <v>4</v>
      </c>
      <c r="D9" s="72" t="s">
        <v>599</v>
      </c>
      <c r="E9" s="5"/>
      <c r="F9" s="5"/>
      <c r="G9" s="5"/>
      <c r="H9" s="5"/>
      <c r="I9" s="5"/>
      <c r="J9" s="5"/>
      <c r="K9" s="5"/>
      <c r="L9" s="5"/>
      <c r="M9" s="5"/>
      <c r="N9" s="5"/>
      <c r="O9" s="5"/>
      <c r="P9" s="5"/>
      <c r="Q9" s="5"/>
      <c r="R9" s="5"/>
      <c r="S9" s="5"/>
      <c r="T9" s="5"/>
      <c r="U9" s="5"/>
      <c r="V9" s="5"/>
      <c r="W9" s="5"/>
      <c r="X9" s="5"/>
      <c r="Y9" s="5"/>
      <c r="Z9" s="5"/>
    </row>
    <row r="10" spans="1:26" ht="12" customHeight="1" x14ac:dyDescent="0.55000000000000004">
      <c r="A10" s="5"/>
      <c r="B10" s="70" t="s">
        <v>601</v>
      </c>
      <c r="C10" s="145" t="s">
        <v>602</v>
      </c>
      <c r="D10" s="146"/>
      <c r="E10" s="5"/>
      <c r="F10" s="5" t="s">
        <v>603</v>
      </c>
      <c r="G10" s="5"/>
      <c r="H10" s="5"/>
      <c r="I10" s="5"/>
      <c r="J10" s="5"/>
      <c r="K10" s="5"/>
      <c r="L10" s="5"/>
      <c r="M10" s="5"/>
      <c r="N10" s="5"/>
      <c r="O10" s="5"/>
      <c r="P10" s="5"/>
      <c r="Q10" s="5"/>
      <c r="R10" s="5"/>
      <c r="S10" s="5"/>
      <c r="T10" s="5"/>
      <c r="U10" s="5"/>
      <c r="V10" s="5"/>
      <c r="W10" s="5"/>
      <c r="X10" s="5"/>
      <c r="Y10" s="5"/>
      <c r="Z10" s="5"/>
    </row>
    <row r="11" spans="1:26" ht="15" customHeight="1" x14ac:dyDescent="0.55000000000000004">
      <c r="A11" s="5"/>
      <c r="B11" s="70" t="s">
        <v>601</v>
      </c>
      <c r="C11" s="71">
        <v>1</v>
      </c>
      <c r="D11" s="72" t="s">
        <v>604</v>
      </c>
      <c r="E11" s="5"/>
      <c r="F11" s="5"/>
      <c r="G11" s="5"/>
      <c r="H11" s="5"/>
      <c r="I11" s="5"/>
      <c r="J11" s="5"/>
      <c r="K11" s="5"/>
      <c r="L11" s="5"/>
      <c r="M11" s="5"/>
      <c r="N11" s="5"/>
      <c r="O11" s="5"/>
      <c r="P11" s="5"/>
      <c r="Q11" s="5"/>
      <c r="R11" s="5"/>
      <c r="S11" s="5"/>
      <c r="T11" s="5"/>
      <c r="U11" s="5"/>
      <c r="V11" s="5"/>
      <c r="W11" s="5"/>
      <c r="X11" s="5"/>
      <c r="Y11" s="5"/>
      <c r="Z11" s="5"/>
    </row>
    <row r="12" spans="1:26" ht="12" customHeight="1" x14ac:dyDescent="0.55000000000000004">
      <c r="A12" s="5"/>
      <c r="B12" s="70" t="s">
        <v>601</v>
      </c>
      <c r="C12" s="71">
        <v>2</v>
      </c>
      <c r="D12" s="72" t="s">
        <v>599</v>
      </c>
      <c r="E12" s="5"/>
      <c r="F12" s="5" t="s">
        <v>605</v>
      </c>
      <c r="G12" s="5"/>
      <c r="H12" s="5"/>
      <c r="I12" s="5"/>
      <c r="J12" s="5"/>
      <c r="K12" s="5"/>
      <c r="L12" s="5"/>
      <c r="M12" s="5"/>
      <c r="N12" s="5"/>
      <c r="O12" s="5"/>
      <c r="P12" s="5"/>
      <c r="Q12" s="5"/>
      <c r="R12" s="5"/>
      <c r="S12" s="5"/>
      <c r="T12" s="5"/>
      <c r="U12" s="5"/>
      <c r="V12" s="5"/>
      <c r="W12" s="5"/>
      <c r="X12" s="5"/>
      <c r="Y12" s="5"/>
      <c r="Z12" s="5"/>
    </row>
    <row r="13" spans="1:26" ht="12" customHeight="1" x14ac:dyDescent="0.55000000000000004">
      <c r="A13" s="5"/>
      <c r="B13" s="70" t="s">
        <v>601</v>
      </c>
      <c r="C13" s="71">
        <v>3</v>
      </c>
      <c r="D13" s="72" t="s">
        <v>599</v>
      </c>
      <c r="E13" s="5"/>
      <c r="F13" s="5"/>
      <c r="G13" s="5"/>
      <c r="H13" s="5"/>
      <c r="I13" s="5"/>
      <c r="J13" s="5"/>
      <c r="K13" s="5"/>
      <c r="L13" s="5"/>
      <c r="M13" s="5"/>
      <c r="N13" s="5"/>
      <c r="O13" s="5"/>
      <c r="P13" s="5"/>
      <c r="Q13" s="5"/>
      <c r="R13" s="5"/>
      <c r="S13" s="5"/>
      <c r="T13" s="5"/>
      <c r="U13" s="5"/>
      <c r="V13" s="5"/>
      <c r="W13" s="5"/>
      <c r="X13" s="5"/>
      <c r="Y13" s="5"/>
      <c r="Z13" s="5"/>
    </row>
    <row r="14" spans="1:26" ht="12" customHeight="1" x14ac:dyDescent="0.55000000000000004">
      <c r="A14" s="5"/>
      <c r="B14" s="70" t="s">
        <v>601</v>
      </c>
      <c r="C14" s="71">
        <v>4</v>
      </c>
      <c r="D14" s="72" t="s">
        <v>599</v>
      </c>
      <c r="E14" s="5"/>
      <c r="F14" s="5" t="s">
        <v>606</v>
      </c>
      <c r="G14" s="5"/>
      <c r="H14" s="5"/>
      <c r="I14" s="5"/>
      <c r="J14" s="5"/>
      <c r="K14" s="5"/>
      <c r="L14" s="5"/>
      <c r="M14" s="5"/>
      <c r="N14" s="5"/>
      <c r="O14" s="5"/>
      <c r="P14" s="5"/>
      <c r="Q14" s="5"/>
      <c r="R14" s="5"/>
      <c r="S14" s="5"/>
      <c r="T14" s="5"/>
      <c r="U14" s="5"/>
      <c r="V14" s="5"/>
      <c r="W14" s="5"/>
      <c r="X14" s="5"/>
      <c r="Y14" s="5"/>
      <c r="Z14" s="5"/>
    </row>
    <row r="15" spans="1:26" ht="12" customHeight="1" x14ac:dyDescent="0.55000000000000004">
      <c r="A15" s="5"/>
      <c r="B15" s="70" t="s">
        <v>607</v>
      </c>
      <c r="C15" s="145" t="s">
        <v>608</v>
      </c>
      <c r="D15" s="146"/>
      <c r="E15" s="5"/>
      <c r="F15" s="5"/>
      <c r="G15" s="5"/>
      <c r="H15" s="5"/>
      <c r="I15" s="5"/>
      <c r="J15" s="5"/>
      <c r="K15" s="5"/>
      <c r="L15" s="5"/>
      <c r="M15" s="5"/>
      <c r="N15" s="5"/>
      <c r="O15" s="5"/>
      <c r="P15" s="5"/>
      <c r="Q15" s="5"/>
      <c r="R15" s="5"/>
      <c r="S15" s="5"/>
      <c r="T15" s="5"/>
      <c r="U15" s="5"/>
      <c r="V15" s="5"/>
      <c r="W15" s="5"/>
      <c r="X15" s="5"/>
      <c r="Y15" s="5"/>
      <c r="Z15" s="5"/>
    </row>
    <row r="16" spans="1:26" ht="15" customHeight="1" x14ac:dyDescent="0.55000000000000004">
      <c r="A16" s="5"/>
      <c r="B16" s="70" t="s">
        <v>607</v>
      </c>
      <c r="C16" s="71">
        <v>1</v>
      </c>
      <c r="D16" s="72" t="s">
        <v>609</v>
      </c>
      <c r="E16" s="5"/>
      <c r="F16" s="5" t="s">
        <v>610</v>
      </c>
      <c r="G16" s="5"/>
      <c r="H16" s="5"/>
      <c r="I16" s="5"/>
      <c r="J16" s="5"/>
      <c r="K16" s="5"/>
      <c r="L16" s="5"/>
      <c r="M16" s="5"/>
      <c r="N16" s="5"/>
      <c r="O16" s="5"/>
      <c r="P16" s="5"/>
      <c r="Q16" s="5"/>
      <c r="R16" s="5"/>
      <c r="S16" s="5"/>
      <c r="T16" s="5"/>
      <c r="U16" s="5"/>
      <c r="V16" s="5"/>
      <c r="W16" s="5"/>
      <c r="X16" s="5"/>
      <c r="Y16" s="5"/>
      <c r="Z16" s="5"/>
    </row>
    <row r="17" spans="1:26" ht="12" customHeight="1" x14ac:dyDescent="0.55000000000000004">
      <c r="A17" s="5"/>
      <c r="B17" s="70" t="s">
        <v>607</v>
      </c>
      <c r="C17" s="71">
        <v>2</v>
      </c>
      <c r="D17" s="72" t="s">
        <v>599</v>
      </c>
      <c r="E17" s="5"/>
      <c r="F17" s="5" t="s">
        <v>611</v>
      </c>
      <c r="G17" s="5"/>
      <c r="H17" s="5"/>
      <c r="I17" s="5"/>
      <c r="J17" s="5"/>
      <c r="K17" s="5"/>
      <c r="L17" s="5"/>
      <c r="M17" s="5"/>
      <c r="N17" s="5"/>
      <c r="O17" s="5"/>
      <c r="P17" s="5"/>
      <c r="Q17" s="5"/>
      <c r="R17" s="5"/>
      <c r="S17" s="5"/>
      <c r="T17" s="5"/>
      <c r="U17" s="5"/>
      <c r="V17" s="5"/>
      <c r="W17" s="5"/>
      <c r="X17" s="5"/>
      <c r="Y17" s="5"/>
      <c r="Z17" s="5"/>
    </row>
    <row r="18" spans="1:26" ht="12" customHeight="1" x14ac:dyDescent="0.55000000000000004">
      <c r="A18" s="5"/>
      <c r="B18" s="70" t="s">
        <v>607</v>
      </c>
      <c r="C18" s="71">
        <v>3</v>
      </c>
      <c r="D18" s="72" t="s">
        <v>599</v>
      </c>
      <c r="E18" s="5"/>
      <c r="F18" s="5" t="s">
        <v>612</v>
      </c>
      <c r="G18" s="5"/>
      <c r="H18" s="5"/>
      <c r="I18" s="5"/>
      <c r="J18" s="5"/>
      <c r="K18" s="5"/>
      <c r="L18" s="5"/>
      <c r="M18" s="5"/>
      <c r="N18" s="5"/>
      <c r="O18" s="5"/>
      <c r="P18" s="5"/>
      <c r="Q18" s="5"/>
      <c r="R18" s="5"/>
      <c r="S18" s="5"/>
      <c r="T18" s="5"/>
      <c r="U18" s="5"/>
      <c r="V18" s="5"/>
      <c r="W18" s="5"/>
      <c r="X18" s="5"/>
      <c r="Y18" s="5"/>
      <c r="Z18" s="5"/>
    </row>
    <row r="19" spans="1:26" ht="12" customHeight="1" x14ac:dyDescent="0.55000000000000004">
      <c r="A19" s="5"/>
      <c r="B19" s="70" t="s">
        <v>607</v>
      </c>
      <c r="C19" s="71">
        <v>4</v>
      </c>
      <c r="D19" s="72" t="s">
        <v>599</v>
      </c>
      <c r="E19" s="5"/>
      <c r="F19" s="5" t="s">
        <v>613</v>
      </c>
      <c r="G19" s="5"/>
      <c r="H19" s="5"/>
      <c r="I19" s="5"/>
      <c r="J19" s="5"/>
      <c r="K19" s="5"/>
      <c r="L19" s="5"/>
      <c r="M19" s="5"/>
      <c r="N19" s="5"/>
      <c r="O19" s="5"/>
      <c r="P19" s="5"/>
      <c r="Q19" s="5"/>
      <c r="R19" s="5"/>
      <c r="S19" s="5"/>
      <c r="T19" s="5"/>
      <c r="U19" s="5"/>
      <c r="V19" s="5"/>
      <c r="W19" s="5"/>
      <c r="X19" s="5"/>
      <c r="Y19" s="5"/>
      <c r="Z19" s="5"/>
    </row>
    <row r="20" spans="1:26" ht="12" customHeight="1" x14ac:dyDescent="0.55000000000000004">
      <c r="A20" s="5"/>
      <c r="B20" s="70" t="s">
        <v>614</v>
      </c>
      <c r="C20" s="145" t="s">
        <v>615</v>
      </c>
      <c r="D20" s="146"/>
      <c r="E20" s="5"/>
      <c r="F20" s="5" t="s">
        <v>616</v>
      </c>
      <c r="G20" s="5"/>
      <c r="H20" s="5"/>
      <c r="I20" s="5"/>
      <c r="J20" s="5"/>
      <c r="K20" s="5"/>
      <c r="L20" s="5"/>
      <c r="M20" s="5"/>
      <c r="N20" s="5"/>
      <c r="O20" s="5"/>
      <c r="P20" s="5"/>
      <c r="Q20" s="5"/>
      <c r="R20" s="5"/>
      <c r="S20" s="5"/>
      <c r="T20" s="5"/>
      <c r="U20" s="5"/>
      <c r="V20" s="5"/>
      <c r="W20" s="5"/>
      <c r="X20" s="5"/>
      <c r="Y20" s="5"/>
      <c r="Z20" s="5"/>
    </row>
    <row r="21" spans="1:26" ht="15" customHeight="1" x14ac:dyDescent="0.55000000000000004">
      <c r="A21" s="5"/>
      <c r="B21" s="70" t="s">
        <v>614</v>
      </c>
      <c r="C21" s="71">
        <v>1</v>
      </c>
      <c r="D21" s="72" t="s">
        <v>617</v>
      </c>
      <c r="E21" s="5"/>
      <c r="F21" s="5"/>
      <c r="G21" s="5"/>
      <c r="H21" s="5"/>
      <c r="I21" s="5"/>
      <c r="J21" s="5"/>
      <c r="K21" s="5"/>
      <c r="L21" s="5"/>
      <c r="M21" s="5"/>
      <c r="N21" s="5"/>
      <c r="O21" s="5"/>
      <c r="P21" s="5"/>
      <c r="Q21" s="5"/>
      <c r="R21" s="5"/>
      <c r="S21" s="5"/>
      <c r="T21" s="5"/>
      <c r="U21" s="5"/>
      <c r="V21" s="5"/>
      <c r="W21" s="5"/>
      <c r="X21" s="5"/>
      <c r="Y21" s="5"/>
      <c r="Z21" s="5"/>
    </row>
    <row r="22" spans="1:26" ht="12" customHeight="1" x14ac:dyDescent="0.55000000000000004">
      <c r="A22" s="5"/>
      <c r="B22" s="70" t="s">
        <v>614</v>
      </c>
      <c r="C22" s="71">
        <v>2</v>
      </c>
      <c r="D22" s="72" t="s">
        <v>599</v>
      </c>
      <c r="E22" s="5"/>
      <c r="F22" s="5"/>
      <c r="G22" s="5"/>
      <c r="H22" s="5"/>
      <c r="I22" s="5"/>
      <c r="J22" s="5"/>
      <c r="K22" s="5"/>
      <c r="L22" s="5"/>
      <c r="M22" s="5"/>
      <c r="N22" s="5"/>
      <c r="O22" s="5"/>
      <c r="P22" s="5"/>
      <c r="Q22" s="5"/>
      <c r="R22" s="5"/>
      <c r="S22" s="5"/>
      <c r="T22" s="5"/>
      <c r="U22" s="5"/>
      <c r="V22" s="5"/>
      <c r="W22" s="5"/>
      <c r="X22" s="5"/>
      <c r="Y22" s="5"/>
      <c r="Z22" s="5"/>
    </row>
    <row r="23" spans="1:26" ht="12" customHeight="1" x14ac:dyDescent="0.55000000000000004">
      <c r="A23" s="5"/>
      <c r="B23" s="70" t="s">
        <v>614</v>
      </c>
      <c r="C23" s="71">
        <v>3</v>
      </c>
      <c r="D23" s="72" t="s">
        <v>599</v>
      </c>
      <c r="E23" s="5"/>
      <c r="F23" s="5" t="s">
        <v>618</v>
      </c>
      <c r="G23" s="5"/>
      <c r="H23" s="5"/>
      <c r="I23" s="5"/>
      <c r="J23" s="5"/>
      <c r="K23" s="5"/>
      <c r="L23" s="5"/>
      <c r="M23" s="5"/>
      <c r="N23" s="5"/>
      <c r="O23" s="5"/>
      <c r="P23" s="5"/>
      <c r="Q23" s="5"/>
      <c r="R23" s="5"/>
      <c r="S23" s="5"/>
      <c r="T23" s="5"/>
      <c r="U23" s="5"/>
      <c r="V23" s="5"/>
      <c r="W23" s="5"/>
      <c r="X23" s="5"/>
      <c r="Y23" s="5"/>
      <c r="Z23" s="5"/>
    </row>
    <row r="24" spans="1:26" ht="12" customHeight="1" x14ac:dyDescent="0.55000000000000004">
      <c r="A24" s="5"/>
      <c r="B24" s="70" t="s">
        <v>614</v>
      </c>
      <c r="C24" s="71">
        <v>4</v>
      </c>
      <c r="D24" s="72" t="s">
        <v>599</v>
      </c>
      <c r="E24" s="5"/>
      <c r="F24" s="5" t="s">
        <v>619</v>
      </c>
      <c r="G24" s="5"/>
      <c r="H24" s="5"/>
      <c r="I24" s="5"/>
      <c r="J24" s="5"/>
      <c r="K24" s="5"/>
      <c r="L24" s="5"/>
      <c r="M24" s="5"/>
      <c r="N24" s="5"/>
      <c r="O24" s="5"/>
      <c r="P24" s="5"/>
      <c r="Q24" s="5"/>
      <c r="R24" s="5"/>
      <c r="S24" s="5"/>
      <c r="T24" s="5"/>
      <c r="U24" s="5"/>
      <c r="V24" s="5"/>
      <c r="W24" s="5"/>
      <c r="X24" s="5"/>
      <c r="Y24" s="5"/>
      <c r="Z24" s="5"/>
    </row>
    <row r="25" spans="1:26" ht="12" customHeight="1" x14ac:dyDescent="0.55000000000000004">
      <c r="A25" s="5"/>
      <c r="B25" s="70" t="s">
        <v>620</v>
      </c>
      <c r="C25" s="145" t="s">
        <v>621</v>
      </c>
      <c r="D25" s="146"/>
      <c r="E25" s="5"/>
      <c r="F25" s="5" t="s">
        <v>622</v>
      </c>
      <c r="G25" s="5"/>
      <c r="H25" s="5"/>
      <c r="I25" s="5"/>
      <c r="J25" s="5"/>
      <c r="K25" s="5"/>
      <c r="L25" s="5"/>
      <c r="M25" s="5"/>
      <c r="N25" s="5"/>
      <c r="O25" s="5"/>
      <c r="P25" s="5"/>
      <c r="Q25" s="5"/>
      <c r="R25" s="5"/>
      <c r="S25" s="5"/>
      <c r="T25" s="5"/>
      <c r="U25" s="5"/>
      <c r="V25" s="5"/>
      <c r="W25" s="5"/>
      <c r="X25" s="5"/>
      <c r="Y25" s="5"/>
      <c r="Z25" s="5"/>
    </row>
    <row r="26" spans="1:26" ht="15" customHeight="1" x14ac:dyDescent="0.55000000000000004">
      <c r="A26" s="5"/>
      <c r="B26" s="70" t="s">
        <v>620</v>
      </c>
      <c r="C26" s="71">
        <v>1</v>
      </c>
      <c r="D26" s="72" t="s">
        <v>623</v>
      </c>
      <c r="E26" s="5"/>
      <c r="F26" s="5" t="s">
        <v>624</v>
      </c>
      <c r="G26" s="5"/>
      <c r="H26" s="5"/>
      <c r="I26" s="5"/>
      <c r="J26" s="5"/>
      <c r="K26" s="5"/>
      <c r="L26" s="5"/>
      <c r="M26" s="5"/>
      <c r="N26" s="5"/>
      <c r="O26" s="5"/>
      <c r="P26" s="5"/>
      <c r="Q26" s="5"/>
      <c r="R26" s="5"/>
      <c r="S26" s="5"/>
      <c r="T26" s="5"/>
      <c r="U26" s="5"/>
      <c r="V26" s="5"/>
      <c r="W26" s="5"/>
      <c r="X26" s="5"/>
      <c r="Y26" s="5"/>
      <c r="Z26" s="5"/>
    </row>
    <row r="27" spans="1:26" ht="12" customHeight="1" x14ac:dyDescent="0.55000000000000004">
      <c r="A27" s="5"/>
      <c r="B27" s="70" t="s">
        <v>620</v>
      </c>
      <c r="C27" s="71">
        <v>2</v>
      </c>
      <c r="D27" s="72" t="s">
        <v>625</v>
      </c>
      <c r="E27" s="5"/>
      <c r="F27" s="5"/>
      <c r="G27" s="5"/>
      <c r="H27" s="5"/>
      <c r="I27" s="5"/>
      <c r="J27" s="5"/>
      <c r="K27" s="5"/>
      <c r="L27" s="5"/>
      <c r="M27" s="5"/>
      <c r="N27" s="5"/>
      <c r="O27" s="5"/>
      <c r="P27" s="5"/>
      <c r="Q27" s="5"/>
      <c r="R27" s="5"/>
      <c r="S27" s="5"/>
      <c r="T27" s="5"/>
      <c r="U27" s="5"/>
      <c r="V27" s="5"/>
      <c r="W27" s="5"/>
      <c r="X27" s="5"/>
      <c r="Y27" s="5"/>
      <c r="Z27" s="5"/>
    </row>
    <row r="28" spans="1:26" ht="12" customHeight="1" x14ac:dyDescent="0.55000000000000004">
      <c r="A28" s="5"/>
      <c r="B28" s="70" t="s">
        <v>620</v>
      </c>
      <c r="C28" s="71">
        <v>3</v>
      </c>
      <c r="D28" s="72" t="s">
        <v>626</v>
      </c>
      <c r="E28" s="5"/>
      <c r="F28" s="5"/>
      <c r="G28" s="5"/>
      <c r="H28" s="5"/>
      <c r="I28" s="5"/>
      <c r="J28" s="5"/>
      <c r="K28" s="5"/>
      <c r="L28" s="5"/>
      <c r="M28" s="5"/>
      <c r="N28" s="5"/>
      <c r="O28" s="5"/>
      <c r="P28" s="5"/>
      <c r="Q28" s="5"/>
      <c r="R28" s="5"/>
      <c r="S28" s="5"/>
      <c r="T28" s="5"/>
      <c r="U28" s="5"/>
      <c r="V28" s="5"/>
      <c r="W28" s="5"/>
      <c r="X28" s="5"/>
      <c r="Y28" s="5"/>
      <c r="Z28" s="5"/>
    </row>
    <row r="29" spans="1:26" ht="12" customHeight="1" x14ac:dyDescent="0.55000000000000004">
      <c r="A29" s="5"/>
      <c r="B29" s="73" t="s">
        <v>620</v>
      </c>
      <c r="C29" s="74">
        <v>4</v>
      </c>
      <c r="D29" s="75" t="s">
        <v>627</v>
      </c>
      <c r="E29" s="5"/>
      <c r="F29" s="5"/>
      <c r="G29" s="5"/>
      <c r="H29" s="5"/>
      <c r="I29" s="5"/>
      <c r="J29" s="5"/>
      <c r="K29" s="5"/>
      <c r="L29" s="5"/>
      <c r="M29" s="5"/>
      <c r="N29" s="5"/>
      <c r="O29" s="5"/>
      <c r="P29" s="5"/>
      <c r="Q29" s="5"/>
      <c r="R29" s="5"/>
      <c r="S29" s="5"/>
      <c r="T29" s="5"/>
      <c r="U29" s="5"/>
      <c r="V29" s="5"/>
      <c r="W29" s="5"/>
      <c r="X29" s="5"/>
      <c r="Y29" s="5"/>
      <c r="Z29" s="5"/>
    </row>
    <row r="30" spans="1:26" ht="12" customHeight="1" x14ac:dyDescent="0.55000000000000004">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 customHeight="1" x14ac:dyDescent="0.55000000000000004">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 customHeight="1" x14ac:dyDescent="0.55000000000000004">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42.75" customHeight="1" x14ac:dyDescent="1">
      <c r="A33" s="5"/>
      <c r="B33" s="65" t="s">
        <v>628</v>
      </c>
      <c r="C33" s="5"/>
      <c r="D33" s="5"/>
      <c r="E33" s="5"/>
      <c r="F33" s="5"/>
      <c r="G33" s="5"/>
      <c r="H33" s="5"/>
      <c r="I33" s="5"/>
      <c r="J33" s="5"/>
      <c r="K33" s="5"/>
      <c r="L33" s="5"/>
      <c r="M33" s="5"/>
      <c r="N33" s="5"/>
      <c r="O33" s="5"/>
      <c r="P33" s="5"/>
      <c r="Q33" s="5"/>
      <c r="R33" s="5"/>
      <c r="S33" s="5"/>
      <c r="T33" s="5"/>
      <c r="U33" s="5"/>
      <c r="V33" s="5"/>
      <c r="W33" s="5"/>
      <c r="X33" s="5"/>
      <c r="Y33" s="5"/>
      <c r="Z33" s="5"/>
    </row>
    <row r="34" spans="1:26" ht="12" customHeight="1" x14ac:dyDescent="0.55000000000000004">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 customHeight="1" x14ac:dyDescent="0.55000000000000004">
      <c r="A35" s="5"/>
      <c r="B35" s="76" t="s">
        <v>629</v>
      </c>
      <c r="C35" s="77" t="s">
        <v>630</v>
      </c>
      <c r="D35" s="5"/>
      <c r="E35" s="5" t="s">
        <v>631</v>
      </c>
      <c r="F35" s="5"/>
      <c r="G35" s="5"/>
      <c r="H35" s="5"/>
      <c r="I35" s="5"/>
      <c r="J35" s="5"/>
      <c r="K35" s="5"/>
      <c r="L35" s="5"/>
      <c r="M35" s="5"/>
      <c r="N35" s="5"/>
      <c r="O35" s="5"/>
      <c r="P35" s="5"/>
      <c r="Q35" s="5"/>
      <c r="R35" s="5"/>
      <c r="S35" s="5"/>
      <c r="T35" s="5"/>
      <c r="U35" s="5"/>
      <c r="V35" s="5"/>
      <c r="W35" s="5"/>
      <c r="X35" s="5"/>
      <c r="Y35" s="5"/>
      <c r="Z35" s="5"/>
    </row>
    <row r="36" spans="1:26" ht="12" customHeight="1" x14ac:dyDescent="0.55000000000000004">
      <c r="A36" s="5"/>
      <c r="B36" s="78" t="s">
        <v>632</v>
      </c>
      <c r="C36" s="79" t="s">
        <v>633</v>
      </c>
      <c r="D36" s="5"/>
      <c r="E36" s="5" t="s">
        <v>634</v>
      </c>
      <c r="F36" s="5"/>
      <c r="G36" s="5"/>
      <c r="H36" s="5"/>
      <c r="I36" s="5"/>
      <c r="J36" s="5"/>
      <c r="K36" s="5"/>
      <c r="L36" s="5"/>
      <c r="M36" s="5"/>
      <c r="N36" s="5"/>
      <c r="O36" s="5"/>
      <c r="P36" s="5"/>
      <c r="Q36" s="5"/>
      <c r="R36" s="5"/>
      <c r="S36" s="5"/>
      <c r="T36" s="5"/>
      <c r="U36" s="5"/>
      <c r="V36" s="5"/>
      <c r="W36" s="5"/>
      <c r="X36" s="5"/>
      <c r="Y36" s="5"/>
      <c r="Z36" s="5"/>
    </row>
    <row r="37" spans="1:26" ht="12" customHeight="1" x14ac:dyDescent="0.55000000000000004">
      <c r="A37" s="5"/>
      <c r="B37" s="80" t="s">
        <v>635</v>
      </c>
      <c r="C37" s="81" t="s">
        <v>636</v>
      </c>
      <c r="D37" s="5"/>
      <c r="E37" s="5"/>
      <c r="F37" s="5"/>
      <c r="G37" s="5"/>
      <c r="H37" s="5"/>
      <c r="I37" s="5"/>
      <c r="J37" s="5"/>
      <c r="K37" s="5"/>
      <c r="L37" s="5"/>
      <c r="M37" s="5"/>
      <c r="N37" s="5"/>
      <c r="O37" s="5"/>
      <c r="P37" s="5"/>
      <c r="Q37" s="5"/>
      <c r="R37" s="5"/>
      <c r="S37" s="5"/>
      <c r="T37" s="5"/>
      <c r="U37" s="5"/>
      <c r="V37" s="5"/>
      <c r="W37" s="5"/>
      <c r="X37" s="5"/>
      <c r="Y37" s="5"/>
      <c r="Z37" s="5"/>
    </row>
    <row r="38" spans="1:26" ht="12" customHeight="1" x14ac:dyDescent="0.55000000000000004">
      <c r="A38" s="5"/>
      <c r="B38" s="80" t="s">
        <v>637</v>
      </c>
      <c r="C38" s="81" t="s">
        <v>638</v>
      </c>
      <c r="D38" s="5"/>
      <c r="E38" s="5"/>
      <c r="F38" s="5"/>
      <c r="G38" s="5"/>
      <c r="H38" s="5"/>
      <c r="I38" s="5"/>
      <c r="J38" s="5"/>
      <c r="K38" s="5"/>
      <c r="L38" s="5"/>
      <c r="M38" s="5"/>
      <c r="N38" s="5"/>
      <c r="O38" s="5"/>
      <c r="P38" s="5"/>
      <c r="Q38" s="5"/>
      <c r="R38" s="5"/>
      <c r="S38" s="5"/>
      <c r="T38" s="5"/>
      <c r="U38" s="5"/>
      <c r="V38" s="5"/>
      <c r="W38" s="5"/>
      <c r="X38" s="5"/>
      <c r="Y38" s="5"/>
      <c r="Z38" s="5"/>
    </row>
    <row r="39" spans="1:26" ht="12" customHeight="1" x14ac:dyDescent="0.55000000000000004">
      <c r="A39" s="5"/>
      <c r="B39" s="82" t="s">
        <v>639</v>
      </c>
      <c r="C39" s="83" t="s">
        <v>640</v>
      </c>
      <c r="D39" s="5"/>
      <c r="E39" s="5" t="s">
        <v>641</v>
      </c>
      <c r="F39" s="5"/>
      <c r="G39" s="5"/>
      <c r="H39" s="5"/>
      <c r="I39" s="5"/>
      <c r="J39" s="5"/>
      <c r="K39" s="5"/>
      <c r="L39" s="5"/>
      <c r="M39" s="5"/>
      <c r="N39" s="5"/>
      <c r="O39" s="5"/>
      <c r="P39" s="5"/>
      <c r="Q39" s="5"/>
      <c r="R39" s="5"/>
      <c r="S39" s="5"/>
      <c r="T39" s="5"/>
      <c r="U39" s="5"/>
      <c r="V39" s="5"/>
      <c r="W39" s="5"/>
      <c r="X39" s="5"/>
      <c r="Y39" s="5"/>
      <c r="Z39" s="5"/>
    </row>
    <row r="40" spans="1:26" ht="12" customHeight="1" x14ac:dyDescent="0.55000000000000004">
      <c r="A40" s="5"/>
      <c r="B40" s="5"/>
      <c r="C40" s="5"/>
      <c r="D40" s="5"/>
      <c r="E40" s="5" t="s">
        <v>642</v>
      </c>
      <c r="F40" s="5"/>
      <c r="G40" s="5"/>
      <c r="H40" s="5"/>
      <c r="I40" s="5"/>
      <c r="J40" s="5"/>
      <c r="K40" s="5"/>
      <c r="L40" s="5"/>
      <c r="M40" s="5"/>
      <c r="N40" s="5"/>
      <c r="O40" s="5"/>
      <c r="P40" s="5"/>
      <c r="Q40" s="5"/>
      <c r="R40" s="5"/>
      <c r="S40" s="5"/>
      <c r="T40" s="5"/>
      <c r="U40" s="5"/>
      <c r="V40" s="5"/>
      <c r="W40" s="5"/>
      <c r="X40" s="5"/>
      <c r="Y40" s="5"/>
      <c r="Z40" s="5"/>
    </row>
    <row r="41" spans="1:26" ht="12" customHeight="1" x14ac:dyDescent="0.55000000000000004">
      <c r="A41" s="5"/>
      <c r="B41" s="5"/>
      <c r="C41" s="5"/>
      <c r="D41" s="5"/>
      <c r="E41" s="5" t="s">
        <v>643</v>
      </c>
      <c r="F41" s="5"/>
      <c r="G41" s="5"/>
      <c r="H41" s="5"/>
      <c r="I41" s="5"/>
      <c r="J41" s="5"/>
      <c r="K41" s="5"/>
      <c r="L41" s="5"/>
      <c r="M41" s="5"/>
      <c r="N41" s="5"/>
      <c r="O41" s="5"/>
      <c r="P41" s="5"/>
      <c r="Q41" s="5"/>
      <c r="R41" s="5"/>
      <c r="S41" s="5"/>
      <c r="T41" s="5"/>
      <c r="U41" s="5"/>
      <c r="V41" s="5"/>
      <c r="W41" s="5"/>
      <c r="X41" s="5"/>
      <c r="Y41" s="5"/>
      <c r="Z41" s="5"/>
    </row>
    <row r="42" spans="1:26" ht="12" customHeight="1" x14ac:dyDescent="0.55000000000000004">
      <c r="A42" s="5"/>
      <c r="B42" s="5"/>
      <c r="C42" s="5"/>
      <c r="D42" s="5"/>
      <c r="E42" s="5" t="s">
        <v>644</v>
      </c>
      <c r="F42" s="5"/>
      <c r="G42" s="5"/>
      <c r="H42" s="5"/>
      <c r="I42" s="5"/>
      <c r="J42" s="5"/>
      <c r="K42" s="5"/>
      <c r="L42" s="5"/>
      <c r="M42" s="5"/>
      <c r="N42" s="5"/>
      <c r="O42" s="5"/>
      <c r="P42" s="5"/>
      <c r="Q42" s="5"/>
      <c r="R42" s="5"/>
      <c r="S42" s="5"/>
      <c r="T42" s="5"/>
      <c r="U42" s="5"/>
      <c r="V42" s="5"/>
      <c r="W42" s="5"/>
      <c r="X42" s="5"/>
      <c r="Y42" s="5"/>
      <c r="Z42" s="5"/>
    </row>
    <row r="43" spans="1:26" ht="12" customHeight="1" x14ac:dyDescent="0.55000000000000004">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 customHeight="1" x14ac:dyDescent="0.55000000000000004">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 customHeight="1" x14ac:dyDescent="0.55000000000000004">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 customHeight="1" x14ac:dyDescent="0.55000000000000004">
      <c r="A46" s="5"/>
      <c r="B46" s="5"/>
      <c r="C46" s="5"/>
      <c r="D46" s="5"/>
      <c r="E46" s="5" t="s">
        <v>605</v>
      </c>
      <c r="F46" s="5"/>
      <c r="G46" s="5"/>
      <c r="H46" s="5"/>
      <c r="I46" s="5"/>
      <c r="J46" s="5"/>
      <c r="K46" s="5"/>
      <c r="L46" s="5"/>
      <c r="M46" s="5"/>
      <c r="N46" s="5"/>
      <c r="O46" s="5"/>
      <c r="P46" s="5"/>
      <c r="Q46" s="5"/>
      <c r="R46" s="5"/>
      <c r="S46" s="5"/>
      <c r="T46" s="5"/>
      <c r="U46" s="5"/>
      <c r="V46" s="5"/>
      <c r="W46" s="5"/>
      <c r="X46" s="5"/>
      <c r="Y46" s="5"/>
      <c r="Z46" s="5"/>
    </row>
    <row r="47" spans="1:26" ht="12" customHeight="1" x14ac:dyDescent="0.55000000000000004">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 customHeight="1" x14ac:dyDescent="0.55000000000000004">
      <c r="A48" s="5"/>
      <c r="B48" s="5"/>
      <c r="C48" s="5"/>
      <c r="D48" s="5"/>
      <c r="E48" s="5" t="s">
        <v>645</v>
      </c>
      <c r="F48" s="5"/>
      <c r="G48" s="5"/>
      <c r="H48" s="5"/>
      <c r="I48" s="5"/>
      <c r="J48" s="5"/>
      <c r="K48" s="5"/>
      <c r="L48" s="5"/>
      <c r="M48" s="5"/>
      <c r="N48" s="5"/>
      <c r="O48" s="5"/>
      <c r="P48" s="5"/>
      <c r="Q48" s="5"/>
      <c r="R48" s="5"/>
      <c r="S48" s="5"/>
      <c r="T48" s="5"/>
      <c r="U48" s="5"/>
      <c r="V48" s="5"/>
      <c r="W48" s="5"/>
      <c r="X48" s="5"/>
      <c r="Y48" s="5"/>
      <c r="Z48" s="5"/>
    </row>
    <row r="49" spans="1:26" ht="12" customHeight="1" x14ac:dyDescent="0.55000000000000004">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 customHeight="1" x14ac:dyDescent="0.55000000000000004">
      <c r="A50" s="5"/>
      <c r="B50" s="5"/>
      <c r="C50" s="5"/>
      <c r="D50" s="5"/>
      <c r="E50" s="5" t="s">
        <v>646</v>
      </c>
      <c r="F50" s="5"/>
      <c r="G50" s="5"/>
      <c r="H50" s="5"/>
      <c r="I50" s="5"/>
      <c r="J50" s="5"/>
      <c r="K50" s="5"/>
      <c r="L50" s="5"/>
      <c r="M50" s="5"/>
      <c r="N50" s="5"/>
      <c r="O50" s="5"/>
      <c r="P50" s="5"/>
      <c r="Q50" s="5"/>
      <c r="R50" s="5"/>
      <c r="S50" s="5"/>
      <c r="T50" s="5"/>
      <c r="U50" s="5"/>
      <c r="V50" s="5"/>
      <c r="W50" s="5"/>
      <c r="X50" s="5"/>
      <c r="Y50" s="5"/>
      <c r="Z50" s="5"/>
    </row>
    <row r="51" spans="1:26" ht="12" customHeight="1" x14ac:dyDescent="0.55000000000000004">
      <c r="A51" s="5"/>
      <c r="B51" s="5"/>
      <c r="C51" s="5"/>
      <c r="D51" s="5"/>
      <c r="E51" s="5" t="s">
        <v>647</v>
      </c>
      <c r="F51" s="5"/>
      <c r="G51" s="5"/>
      <c r="H51" s="5"/>
      <c r="I51" s="5"/>
      <c r="J51" s="5"/>
      <c r="K51" s="5"/>
      <c r="L51" s="5"/>
      <c r="M51" s="5"/>
      <c r="N51" s="5"/>
      <c r="O51" s="5"/>
      <c r="P51" s="5"/>
      <c r="Q51" s="5"/>
      <c r="R51" s="5"/>
      <c r="S51" s="5"/>
      <c r="T51" s="5"/>
      <c r="U51" s="5"/>
      <c r="V51" s="5"/>
      <c r="W51" s="5"/>
      <c r="X51" s="5"/>
      <c r="Y51" s="5"/>
      <c r="Z51" s="5"/>
    </row>
    <row r="52" spans="1:26" ht="12" customHeight="1" x14ac:dyDescent="0.55000000000000004">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 customHeight="1" x14ac:dyDescent="0.55000000000000004">
      <c r="A53" s="5"/>
      <c r="B53" s="5"/>
      <c r="C53" s="5"/>
      <c r="D53" s="5"/>
      <c r="E53" s="5" t="s">
        <v>648</v>
      </c>
      <c r="F53" s="5"/>
      <c r="G53" s="5"/>
      <c r="H53" s="5"/>
      <c r="I53" s="5"/>
      <c r="J53" s="5"/>
      <c r="K53" s="5"/>
      <c r="L53" s="5"/>
      <c r="M53" s="5"/>
      <c r="N53" s="5"/>
      <c r="O53" s="5"/>
      <c r="P53" s="5"/>
      <c r="Q53" s="5"/>
      <c r="R53" s="5"/>
      <c r="S53" s="5"/>
      <c r="T53" s="5"/>
      <c r="U53" s="5"/>
      <c r="V53" s="5"/>
      <c r="W53" s="5"/>
      <c r="X53" s="5"/>
      <c r="Y53" s="5"/>
      <c r="Z53" s="5"/>
    </row>
    <row r="54" spans="1:26" ht="12" customHeight="1" x14ac:dyDescent="0.55000000000000004">
      <c r="A54" s="5"/>
      <c r="B54" s="5"/>
      <c r="C54" s="5"/>
      <c r="D54" s="5"/>
      <c r="E54" s="5" t="s">
        <v>649</v>
      </c>
      <c r="F54" s="5"/>
      <c r="G54" s="5"/>
      <c r="H54" s="5"/>
      <c r="I54" s="5"/>
      <c r="J54" s="5"/>
      <c r="K54" s="5"/>
      <c r="L54" s="5"/>
      <c r="M54" s="5"/>
      <c r="N54" s="5"/>
      <c r="O54" s="5"/>
      <c r="P54" s="5"/>
      <c r="Q54" s="5"/>
      <c r="R54" s="5"/>
      <c r="S54" s="5"/>
      <c r="T54" s="5"/>
      <c r="U54" s="5"/>
      <c r="V54" s="5"/>
      <c r="W54" s="5"/>
      <c r="X54" s="5"/>
      <c r="Y54" s="5"/>
      <c r="Z54" s="5"/>
    </row>
    <row r="55" spans="1:26" ht="12" customHeight="1" x14ac:dyDescent="0.55000000000000004">
      <c r="A55" s="5"/>
      <c r="B55" s="5"/>
      <c r="C55" s="5"/>
      <c r="D55" s="5"/>
      <c r="E55" s="5" t="s">
        <v>650</v>
      </c>
      <c r="F55" s="5"/>
      <c r="G55" s="5"/>
      <c r="H55" s="5"/>
      <c r="I55" s="5"/>
      <c r="J55" s="5"/>
      <c r="K55" s="5"/>
      <c r="L55" s="5"/>
      <c r="M55" s="5"/>
      <c r="N55" s="5"/>
      <c r="O55" s="5"/>
      <c r="P55" s="5"/>
      <c r="Q55" s="5"/>
      <c r="R55" s="5"/>
      <c r="S55" s="5"/>
      <c r="T55" s="5"/>
      <c r="U55" s="5"/>
      <c r="V55" s="5"/>
      <c r="W55" s="5"/>
      <c r="X55" s="5"/>
      <c r="Y55" s="5"/>
      <c r="Z55" s="5"/>
    </row>
    <row r="56" spans="1:26" ht="12" customHeight="1" x14ac:dyDescent="0.55000000000000004">
      <c r="A56" s="5"/>
      <c r="B56" s="5"/>
      <c r="C56" s="5"/>
      <c r="D56" s="5"/>
      <c r="E56" s="5" t="s">
        <v>651</v>
      </c>
      <c r="F56" s="5"/>
      <c r="G56" s="5"/>
      <c r="H56" s="5"/>
      <c r="I56" s="5"/>
      <c r="J56" s="5"/>
      <c r="K56" s="5"/>
      <c r="L56" s="5"/>
      <c r="M56" s="5"/>
      <c r="N56" s="5"/>
      <c r="O56" s="5"/>
      <c r="P56" s="5"/>
      <c r="Q56" s="5"/>
      <c r="R56" s="5"/>
      <c r="S56" s="5"/>
      <c r="T56" s="5"/>
      <c r="U56" s="5"/>
      <c r="V56" s="5"/>
      <c r="W56" s="5"/>
      <c r="X56" s="5"/>
      <c r="Y56" s="5"/>
      <c r="Z56" s="5"/>
    </row>
    <row r="57" spans="1:26" ht="12" customHeight="1" x14ac:dyDescent="0.55000000000000004">
      <c r="A57" s="5"/>
      <c r="B57" s="5"/>
      <c r="C57" s="5"/>
      <c r="D57" s="5"/>
      <c r="E57" s="5" t="s">
        <v>652</v>
      </c>
      <c r="F57" s="5"/>
      <c r="G57" s="5"/>
      <c r="H57" s="5"/>
      <c r="I57" s="5"/>
      <c r="J57" s="5"/>
      <c r="K57" s="5"/>
      <c r="L57" s="5"/>
      <c r="M57" s="5"/>
      <c r="N57" s="5"/>
      <c r="O57" s="5"/>
      <c r="P57" s="5"/>
      <c r="Q57" s="5"/>
      <c r="R57" s="5"/>
      <c r="S57" s="5"/>
      <c r="T57" s="5"/>
      <c r="U57" s="5"/>
      <c r="V57" s="5"/>
      <c r="W57" s="5"/>
      <c r="X57" s="5"/>
      <c r="Y57" s="5"/>
      <c r="Z57" s="5"/>
    </row>
    <row r="58" spans="1:26" ht="12" customHeight="1" x14ac:dyDescent="0.55000000000000004">
      <c r="A58" s="5"/>
      <c r="B58" s="5"/>
      <c r="C58" s="5"/>
      <c r="D58" s="5"/>
      <c r="E58" s="5" t="s">
        <v>653</v>
      </c>
      <c r="F58" s="5"/>
      <c r="G58" s="5"/>
      <c r="H58" s="5"/>
      <c r="I58" s="5"/>
      <c r="J58" s="5"/>
      <c r="K58" s="5"/>
      <c r="L58" s="5"/>
      <c r="M58" s="5"/>
      <c r="N58" s="5"/>
      <c r="O58" s="5"/>
      <c r="P58" s="5"/>
      <c r="Q58" s="5"/>
      <c r="R58" s="5"/>
      <c r="S58" s="5"/>
      <c r="T58" s="5"/>
      <c r="U58" s="5"/>
      <c r="V58" s="5"/>
      <c r="W58" s="5"/>
      <c r="X58" s="5"/>
      <c r="Y58" s="5"/>
      <c r="Z58" s="5"/>
    </row>
    <row r="59" spans="1:26" ht="12" customHeight="1" x14ac:dyDescent="0.55000000000000004">
      <c r="A59" s="5"/>
      <c r="B59" s="5"/>
      <c r="C59" s="5"/>
      <c r="D59" s="5"/>
      <c r="E59" s="5" t="s">
        <v>654</v>
      </c>
      <c r="F59" s="5"/>
      <c r="G59" s="5"/>
      <c r="H59" s="5"/>
      <c r="I59" s="5"/>
      <c r="J59" s="5"/>
      <c r="K59" s="5"/>
      <c r="L59" s="5"/>
      <c r="M59" s="5"/>
      <c r="N59" s="5"/>
      <c r="O59" s="5"/>
      <c r="P59" s="5"/>
      <c r="Q59" s="5"/>
      <c r="R59" s="5"/>
      <c r="S59" s="5"/>
      <c r="T59" s="5"/>
      <c r="U59" s="5"/>
      <c r="V59" s="5"/>
      <c r="W59" s="5"/>
      <c r="X59" s="5"/>
      <c r="Y59" s="5"/>
      <c r="Z59" s="5"/>
    </row>
    <row r="60" spans="1:26" ht="12" customHeight="1" x14ac:dyDescent="0.55000000000000004">
      <c r="A60" s="5"/>
      <c r="B60" s="5"/>
      <c r="C60" s="5"/>
      <c r="D60" s="5"/>
      <c r="E60" s="5" t="s">
        <v>655</v>
      </c>
      <c r="F60" s="5"/>
      <c r="G60" s="5"/>
      <c r="H60" s="5"/>
      <c r="I60" s="5"/>
      <c r="J60" s="5"/>
      <c r="K60" s="5"/>
      <c r="L60" s="5"/>
      <c r="M60" s="5"/>
      <c r="N60" s="5"/>
      <c r="O60" s="5"/>
      <c r="P60" s="5"/>
      <c r="Q60" s="5"/>
      <c r="R60" s="5"/>
      <c r="S60" s="5"/>
      <c r="T60" s="5"/>
      <c r="U60" s="5"/>
      <c r="V60" s="5"/>
      <c r="W60" s="5"/>
      <c r="X60" s="5"/>
      <c r="Y60" s="5"/>
      <c r="Z60" s="5"/>
    </row>
    <row r="61" spans="1:26" ht="12" customHeight="1" x14ac:dyDescent="0.55000000000000004">
      <c r="A61" s="5"/>
      <c r="B61" s="5"/>
      <c r="C61" s="5"/>
      <c r="D61" s="5"/>
      <c r="E61" s="5" t="s">
        <v>656</v>
      </c>
      <c r="F61" s="5"/>
      <c r="G61" s="5"/>
      <c r="H61" s="5"/>
      <c r="I61" s="5"/>
      <c r="J61" s="5"/>
      <c r="K61" s="5"/>
      <c r="L61" s="5"/>
      <c r="M61" s="5"/>
      <c r="N61" s="5"/>
      <c r="O61" s="5"/>
      <c r="P61" s="5"/>
      <c r="Q61" s="5"/>
      <c r="R61" s="5"/>
      <c r="S61" s="5"/>
      <c r="T61" s="5"/>
      <c r="U61" s="5"/>
      <c r="V61" s="5"/>
      <c r="W61" s="5"/>
      <c r="X61" s="5"/>
      <c r="Y61" s="5"/>
      <c r="Z61" s="5"/>
    </row>
    <row r="62" spans="1:26" ht="12" customHeight="1" x14ac:dyDescent="0.55000000000000004">
      <c r="A62" s="5"/>
      <c r="B62" s="5"/>
      <c r="C62" s="5"/>
      <c r="D62" s="5"/>
      <c r="E62" s="5" t="s">
        <v>657</v>
      </c>
      <c r="F62" s="5"/>
      <c r="G62" s="5"/>
      <c r="H62" s="5"/>
      <c r="I62" s="5"/>
      <c r="J62" s="5"/>
      <c r="K62" s="5"/>
      <c r="L62" s="5"/>
      <c r="M62" s="5"/>
      <c r="N62" s="5"/>
      <c r="O62" s="5"/>
      <c r="P62" s="5"/>
      <c r="Q62" s="5"/>
      <c r="R62" s="5"/>
      <c r="S62" s="5"/>
      <c r="T62" s="5"/>
      <c r="U62" s="5"/>
      <c r="V62" s="5"/>
      <c r="W62" s="5"/>
      <c r="X62" s="5"/>
      <c r="Y62" s="5"/>
      <c r="Z62" s="5"/>
    </row>
    <row r="63" spans="1:26" ht="30" customHeight="1" x14ac:dyDescent="1">
      <c r="A63" s="5"/>
      <c r="B63" s="65" t="s">
        <v>658</v>
      </c>
      <c r="C63" s="5"/>
      <c r="D63" s="5"/>
      <c r="E63" s="5"/>
      <c r="F63" s="5"/>
      <c r="G63" s="5"/>
      <c r="H63" s="5"/>
      <c r="I63" s="5"/>
      <c r="J63" s="5"/>
      <c r="K63" s="5"/>
      <c r="L63" s="5"/>
      <c r="M63" s="5"/>
      <c r="N63" s="5"/>
      <c r="O63" s="5"/>
      <c r="P63" s="5"/>
      <c r="Q63" s="5"/>
      <c r="R63" s="5"/>
      <c r="S63" s="5"/>
      <c r="T63" s="5"/>
      <c r="U63" s="5"/>
      <c r="V63" s="5"/>
      <c r="W63" s="5"/>
      <c r="X63" s="5"/>
      <c r="Y63" s="5"/>
      <c r="Z63" s="5"/>
    </row>
    <row r="64" spans="1:26" ht="12" customHeight="1" x14ac:dyDescent="0.55000000000000004">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 customHeight="1" x14ac:dyDescent="0.55000000000000004">
      <c r="A65" s="5"/>
      <c r="B65" s="84" t="s">
        <v>659</v>
      </c>
      <c r="C65" s="85" t="s">
        <v>660</v>
      </c>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55000000000000004">
      <c r="A66" s="5"/>
      <c r="B66" s="69" t="s">
        <v>661</v>
      </c>
      <c r="C66" s="86" t="s">
        <v>662</v>
      </c>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55000000000000004">
      <c r="A67" s="5"/>
      <c r="B67" s="70" t="s">
        <v>663</v>
      </c>
      <c r="C67" s="72" t="s">
        <v>664</v>
      </c>
      <c r="D67" s="5"/>
      <c r="E67" s="5" t="s">
        <v>605</v>
      </c>
      <c r="F67" s="5"/>
      <c r="G67" s="5"/>
      <c r="H67" s="5"/>
      <c r="I67" s="5"/>
      <c r="J67" s="5"/>
      <c r="K67" s="5"/>
      <c r="L67" s="5"/>
      <c r="M67" s="5"/>
      <c r="N67" s="5"/>
      <c r="O67" s="5"/>
      <c r="P67" s="5"/>
      <c r="Q67" s="5"/>
      <c r="R67" s="5"/>
      <c r="S67" s="5"/>
      <c r="T67" s="5"/>
      <c r="U67" s="5"/>
      <c r="V67" s="5"/>
      <c r="W67" s="5"/>
      <c r="X67" s="5"/>
      <c r="Y67" s="5"/>
      <c r="Z67" s="5"/>
    </row>
    <row r="68" spans="1:26" ht="15.75" customHeight="1" x14ac:dyDescent="0.55000000000000004">
      <c r="A68" s="5"/>
      <c r="B68" s="70" t="s">
        <v>665</v>
      </c>
      <c r="C68" s="72" t="s">
        <v>666</v>
      </c>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55000000000000004">
      <c r="A69" s="5"/>
      <c r="B69" s="70" t="s">
        <v>667</v>
      </c>
      <c r="C69" s="72" t="s">
        <v>668</v>
      </c>
      <c r="D69" s="5"/>
      <c r="E69" s="5" t="s">
        <v>669</v>
      </c>
      <c r="F69" s="5"/>
      <c r="G69" s="5"/>
      <c r="H69" s="5"/>
      <c r="I69" s="5"/>
      <c r="J69" s="5"/>
      <c r="K69" s="5"/>
      <c r="L69" s="5"/>
      <c r="M69" s="5"/>
      <c r="N69" s="5"/>
      <c r="O69" s="5"/>
      <c r="P69" s="5"/>
      <c r="Q69" s="5"/>
      <c r="R69" s="5"/>
      <c r="S69" s="5"/>
      <c r="T69" s="5"/>
      <c r="U69" s="5"/>
      <c r="V69" s="5"/>
      <c r="W69" s="5"/>
      <c r="X69" s="5"/>
      <c r="Y69" s="5"/>
      <c r="Z69" s="5"/>
    </row>
    <row r="70" spans="1:26" ht="15.75" customHeight="1" x14ac:dyDescent="0.55000000000000004">
      <c r="A70" s="5"/>
      <c r="B70" s="70" t="s">
        <v>670</v>
      </c>
      <c r="C70" s="72" t="s">
        <v>671</v>
      </c>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55000000000000004">
      <c r="A71" s="5"/>
      <c r="B71" s="70" t="s">
        <v>672</v>
      </c>
      <c r="C71" s="72" t="s">
        <v>673</v>
      </c>
      <c r="D71" s="5"/>
      <c r="E71" s="5" t="s">
        <v>674</v>
      </c>
      <c r="F71" s="5"/>
      <c r="G71" s="5"/>
      <c r="H71" s="5"/>
      <c r="I71" s="5"/>
      <c r="J71" s="5"/>
      <c r="K71" s="5"/>
      <c r="L71" s="5"/>
      <c r="M71" s="5"/>
      <c r="N71" s="5"/>
      <c r="O71" s="5"/>
      <c r="P71" s="5"/>
      <c r="Q71" s="5"/>
      <c r="R71" s="5"/>
      <c r="S71" s="5"/>
      <c r="T71" s="5"/>
      <c r="U71" s="5"/>
      <c r="V71" s="5"/>
      <c r="W71" s="5"/>
      <c r="X71" s="5"/>
      <c r="Y71" s="5"/>
      <c r="Z71" s="5"/>
    </row>
    <row r="72" spans="1:26" ht="15.75" customHeight="1" x14ac:dyDescent="0.55000000000000004">
      <c r="A72" s="5"/>
      <c r="B72" s="70" t="s">
        <v>675</v>
      </c>
      <c r="C72" s="72" t="s">
        <v>676</v>
      </c>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55000000000000004">
      <c r="A73" s="5"/>
      <c r="B73" s="70" t="s">
        <v>677</v>
      </c>
      <c r="C73" s="72" t="s">
        <v>678</v>
      </c>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55000000000000004">
      <c r="A74" s="5"/>
      <c r="B74" s="70" t="s">
        <v>679</v>
      </c>
      <c r="C74" s="72" t="s">
        <v>680</v>
      </c>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55000000000000004">
      <c r="A75" s="5"/>
      <c r="B75" s="70" t="s">
        <v>681</v>
      </c>
      <c r="C75" s="72" t="s">
        <v>682</v>
      </c>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55000000000000004">
      <c r="A76" s="5"/>
      <c r="B76" s="70" t="s">
        <v>683</v>
      </c>
      <c r="C76" s="72" t="s">
        <v>684</v>
      </c>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55000000000000004">
      <c r="A77" s="5"/>
      <c r="B77" s="70" t="s">
        <v>685</v>
      </c>
      <c r="C77" s="72" t="s">
        <v>686</v>
      </c>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55000000000000004">
      <c r="A78" s="5"/>
      <c r="B78" s="70" t="s">
        <v>687</v>
      </c>
      <c r="C78" s="72" t="s">
        <v>688</v>
      </c>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55000000000000004">
      <c r="A79" s="5"/>
      <c r="B79" s="70" t="s">
        <v>689</v>
      </c>
      <c r="C79" s="72" t="s">
        <v>690</v>
      </c>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55000000000000004">
      <c r="A80" s="5"/>
      <c r="B80" s="70" t="s">
        <v>691</v>
      </c>
      <c r="C80" s="72" t="s">
        <v>692</v>
      </c>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55000000000000004">
      <c r="A81" s="5"/>
      <c r="B81" s="70" t="s">
        <v>693</v>
      </c>
      <c r="C81" s="72" t="s">
        <v>694</v>
      </c>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55000000000000004">
      <c r="A82" s="5"/>
      <c r="B82" s="70" t="s">
        <v>695</v>
      </c>
      <c r="C82" s="72" t="s">
        <v>696</v>
      </c>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55000000000000004">
      <c r="A83" s="5"/>
      <c r="B83" s="70" t="s">
        <v>697</v>
      </c>
      <c r="C83" s="72" t="s">
        <v>698</v>
      </c>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55000000000000004">
      <c r="A84" s="5"/>
      <c r="B84" s="70" t="s">
        <v>699</v>
      </c>
      <c r="C84" s="72" t="s">
        <v>700</v>
      </c>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55000000000000004">
      <c r="A85" s="5"/>
      <c r="B85" s="70" t="s">
        <v>701</v>
      </c>
      <c r="C85" s="72" t="s">
        <v>702</v>
      </c>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55000000000000004">
      <c r="A86" s="5"/>
      <c r="B86" s="70" t="s">
        <v>703</v>
      </c>
      <c r="C86" s="72" t="s">
        <v>704</v>
      </c>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55000000000000004">
      <c r="A87" s="5"/>
      <c r="B87" s="70" t="s">
        <v>705</v>
      </c>
      <c r="C87" s="72" t="s">
        <v>706</v>
      </c>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55000000000000004">
      <c r="A88" s="5"/>
      <c r="B88" s="70" t="s">
        <v>707</v>
      </c>
      <c r="C88" s="72" t="s">
        <v>708</v>
      </c>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55000000000000004">
      <c r="A89" s="5"/>
      <c r="B89" s="70" t="s">
        <v>709</v>
      </c>
      <c r="C89" s="72" t="s">
        <v>710</v>
      </c>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55000000000000004">
      <c r="A90" s="5"/>
      <c r="B90" s="70" t="s">
        <v>711</v>
      </c>
      <c r="C90" s="72" t="s">
        <v>712</v>
      </c>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55000000000000004">
      <c r="A91" s="5"/>
      <c r="B91" s="70" t="s">
        <v>713</v>
      </c>
      <c r="C91" s="72" t="s">
        <v>714</v>
      </c>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55000000000000004">
      <c r="A92" s="5"/>
      <c r="B92" s="70" t="s">
        <v>715</v>
      </c>
      <c r="C92" s="72" t="s">
        <v>716</v>
      </c>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55000000000000004">
      <c r="A93" s="5"/>
      <c r="B93" s="70" t="s">
        <v>717</v>
      </c>
      <c r="C93" s="72" t="s">
        <v>718</v>
      </c>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55000000000000004">
      <c r="A94" s="5"/>
      <c r="B94" s="70" t="s">
        <v>719</v>
      </c>
      <c r="C94" s="72" t="s">
        <v>720</v>
      </c>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55000000000000004">
      <c r="A95" s="5"/>
      <c r="B95" s="70" t="s">
        <v>721</v>
      </c>
      <c r="C95" s="72" t="s">
        <v>722</v>
      </c>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55000000000000004">
      <c r="A96" s="5"/>
      <c r="B96" s="70" t="s">
        <v>723</v>
      </c>
      <c r="C96" s="72" t="s">
        <v>724</v>
      </c>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55000000000000004">
      <c r="A97" s="5"/>
      <c r="B97" s="70" t="s">
        <v>725</v>
      </c>
      <c r="C97" s="72" t="s">
        <v>726</v>
      </c>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55000000000000004">
      <c r="A98" s="5"/>
      <c r="B98" s="70" t="s">
        <v>727</v>
      </c>
      <c r="C98" s="72" t="s">
        <v>728</v>
      </c>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55000000000000004">
      <c r="A99" s="5"/>
      <c r="B99" s="70" t="s">
        <v>729</v>
      </c>
      <c r="C99" s="72" t="s">
        <v>730</v>
      </c>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55000000000000004">
      <c r="A100" s="5"/>
      <c r="B100" s="70" t="s">
        <v>731</v>
      </c>
      <c r="C100" s="72" t="s">
        <v>638</v>
      </c>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55000000000000004">
      <c r="A101" s="5"/>
      <c r="B101" s="70" t="s">
        <v>732</v>
      </c>
      <c r="C101" s="72" t="s">
        <v>733</v>
      </c>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55000000000000004">
      <c r="A102" s="5"/>
      <c r="B102" s="70" t="s">
        <v>734</v>
      </c>
      <c r="C102" s="72" t="s">
        <v>735</v>
      </c>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55000000000000004">
      <c r="A103" s="5"/>
      <c r="B103" s="70" t="s">
        <v>736</v>
      </c>
      <c r="C103" s="72" t="s">
        <v>737</v>
      </c>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55000000000000004">
      <c r="A104" s="5"/>
      <c r="B104" s="70" t="s">
        <v>738</v>
      </c>
      <c r="C104" s="72" t="s">
        <v>739</v>
      </c>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55000000000000004">
      <c r="A105" s="5"/>
      <c r="B105" s="70" t="s">
        <v>740</v>
      </c>
      <c r="C105" s="72" t="s">
        <v>741</v>
      </c>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55000000000000004">
      <c r="A106" s="5"/>
      <c r="B106" s="70" t="s">
        <v>742</v>
      </c>
      <c r="C106" s="72" t="s">
        <v>743</v>
      </c>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55000000000000004">
      <c r="A107" s="5"/>
      <c r="B107" s="70" t="s">
        <v>744</v>
      </c>
      <c r="C107" s="72" t="s">
        <v>745</v>
      </c>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55000000000000004">
      <c r="A108" s="5"/>
      <c r="B108" s="70" t="s">
        <v>746</v>
      </c>
      <c r="C108" s="72" t="s">
        <v>747</v>
      </c>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55000000000000004">
      <c r="A109" s="5"/>
      <c r="B109" s="70" t="s">
        <v>748</v>
      </c>
      <c r="C109" s="72" t="s">
        <v>749</v>
      </c>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55000000000000004">
      <c r="A110" s="5"/>
      <c r="B110" s="70" t="s">
        <v>750</v>
      </c>
      <c r="C110" s="72" t="s">
        <v>751</v>
      </c>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55000000000000004">
      <c r="A111" s="5"/>
      <c r="B111" s="70" t="s">
        <v>752</v>
      </c>
      <c r="C111" s="72" t="s">
        <v>753</v>
      </c>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55000000000000004">
      <c r="A112" s="5"/>
      <c r="B112" s="70" t="s">
        <v>754</v>
      </c>
      <c r="C112" s="72" t="s">
        <v>755</v>
      </c>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55000000000000004">
      <c r="A113" s="5"/>
      <c r="B113" s="70" t="s">
        <v>756</v>
      </c>
      <c r="C113" s="72" t="s">
        <v>757</v>
      </c>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55000000000000004">
      <c r="A114" s="5"/>
      <c r="B114" s="70" t="s">
        <v>758</v>
      </c>
      <c r="C114" s="72" t="s">
        <v>759</v>
      </c>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55000000000000004">
      <c r="A115" s="5"/>
      <c r="B115" s="70" t="s">
        <v>760</v>
      </c>
      <c r="C115" s="72" t="s">
        <v>761</v>
      </c>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55000000000000004">
      <c r="A116" s="5"/>
      <c r="B116" s="70" t="s">
        <v>762</v>
      </c>
      <c r="C116" s="72" t="s">
        <v>763</v>
      </c>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55000000000000004">
      <c r="A117" s="5"/>
      <c r="B117" s="70" t="s">
        <v>764</v>
      </c>
      <c r="C117" s="72" t="s">
        <v>765</v>
      </c>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55000000000000004">
      <c r="A118" s="5"/>
      <c r="B118" s="70" t="s">
        <v>766</v>
      </c>
      <c r="C118" s="72" t="s">
        <v>767</v>
      </c>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55000000000000004">
      <c r="A119" s="5"/>
      <c r="B119" s="70" t="s">
        <v>768</v>
      </c>
      <c r="C119" s="72" t="s">
        <v>769</v>
      </c>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55000000000000004">
      <c r="A120" s="5"/>
      <c r="B120" s="70" t="s">
        <v>770</v>
      </c>
      <c r="C120" s="72" t="s">
        <v>771</v>
      </c>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55000000000000004">
      <c r="A121" s="5"/>
      <c r="B121" s="70" t="s">
        <v>772</v>
      </c>
      <c r="C121" s="72" t="s">
        <v>773</v>
      </c>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55000000000000004">
      <c r="A122" s="5"/>
      <c r="B122" s="70" t="s">
        <v>774</v>
      </c>
      <c r="C122" s="72" t="s">
        <v>775</v>
      </c>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55000000000000004">
      <c r="A123" s="5"/>
      <c r="B123" s="70" t="s">
        <v>776</v>
      </c>
      <c r="C123" s="72" t="s">
        <v>777</v>
      </c>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55000000000000004">
      <c r="A124" s="5"/>
      <c r="B124" s="70" t="s">
        <v>778</v>
      </c>
      <c r="C124" s="72" t="s">
        <v>779</v>
      </c>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55000000000000004">
      <c r="A125" s="5"/>
      <c r="B125" s="70" t="s">
        <v>780</v>
      </c>
      <c r="C125" s="72" t="s">
        <v>781</v>
      </c>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55000000000000004">
      <c r="A126" s="5"/>
      <c r="B126" s="70" t="s">
        <v>782</v>
      </c>
      <c r="C126" s="72" t="s">
        <v>783</v>
      </c>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55000000000000004">
      <c r="A127" s="5"/>
      <c r="B127" s="70" t="s">
        <v>784</v>
      </c>
      <c r="C127" s="72" t="s">
        <v>785</v>
      </c>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55000000000000004">
      <c r="A128" s="5"/>
      <c r="B128" s="70" t="s">
        <v>786</v>
      </c>
      <c r="C128" s="72" t="s">
        <v>787</v>
      </c>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55000000000000004">
      <c r="A129" s="5"/>
      <c r="B129" s="70" t="s">
        <v>788</v>
      </c>
      <c r="C129" s="72" t="s">
        <v>789</v>
      </c>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55000000000000004">
      <c r="A130" s="5"/>
      <c r="B130" s="70" t="s">
        <v>790</v>
      </c>
      <c r="C130" s="72" t="s">
        <v>791</v>
      </c>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55000000000000004">
      <c r="A131" s="5"/>
      <c r="B131" s="70" t="s">
        <v>792</v>
      </c>
      <c r="C131" s="72" t="s">
        <v>793</v>
      </c>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55000000000000004">
      <c r="A132" s="5"/>
      <c r="B132" s="70" t="s">
        <v>794</v>
      </c>
      <c r="C132" s="72" t="s">
        <v>795</v>
      </c>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55000000000000004">
      <c r="A133" s="5"/>
      <c r="B133" s="70" t="s">
        <v>796</v>
      </c>
      <c r="C133" s="72" t="s">
        <v>797</v>
      </c>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55000000000000004">
      <c r="A134" s="5"/>
      <c r="B134" s="70" t="s">
        <v>798</v>
      </c>
      <c r="C134" s="72" t="s">
        <v>799</v>
      </c>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55000000000000004">
      <c r="A135" s="5"/>
      <c r="B135" s="70" t="s">
        <v>800</v>
      </c>
      <c r="C135" s="72" t="s">
        <v>801</v>
      </c>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55000000000000004">
      <c r="A136" s="5"/>
      <c r="B136" s="70" t="s">
        <v>802</v>
      </c>
      <c r="C136" s="72" t="s">
        <v>803</v>
      </c>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55000000000000004">
      <c r="A137" s="5"/>
      <c r="B137" s="70" t="s">
        <v>804</v>
      </c>
      <c r="C137" s="72" t="s">
        <v>805</v>
      </c>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55000000000000004">
      <c r="A138" s="5"/>
      <c r="B138" s="87" t="s">
        <v>806</v>
      </c>
      <c r="C138" s="88" t="s">
        <v>807</v>
      </c>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55000000000000004">
      <c r="A139" s="5"/>
      <c r="B139" s="89" t="s">
        <v>808</v>
      </c>
      <c r="C139" s="88" t="s">
        <v>809</v>
      </c>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55000000000000004">
      <c r="A140" s="5"/>
      <c r="B140" s="89" t="s">
        <v>810</v>
      </c>
      <c r="C140" s="88" t="s">
        <v>811</v>
      </c>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55000000000000004">
      <c r="A141" s="5"/>
      <c r="B141" s="89" t="s">
        <v>812</v>
      </c>
      <c r="C141" s="88" t="s">
        <v>813</v>
      </c>
      <c r="D141" s="90"/>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55000000000000004">
      <c r="A142" s="5"/>
      <c r="B142" s="91" t="s">
        <v>814</v>
      </c>
      <c r="C142" s="92" t="s">
        <v>815</v>
      </c>
      <c r="D142" s="5" t="s">
        <v>816</v>
      </c>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55000000000000004">
      <c r="A143" s="5"/>
      <c r="B143" s="93" t="s">
        <v>817</v>
      </c>
      <c r="C143" s="94" t="s">
        <v>818</v>
      </c>
      <c r="D143" s="5" t="s">
        <v>819</v>
      </c>
      <c r="E143" s="5"/>
      <c r="F143" s="5"/>
      <c r="G143" s="5"/>
      <c r="H143" s="5"/>
      <c r="I143" s="5"/>
      <c r="J143" s="5"/>
      <c r="K143" s="5"/>
      <c r="L143" s="5"/>
      <c r="M143" s="5"/>
      <c r="N143" s="5"/>
      <c r="O143" s="5"/>
      <c r="P143" s="5"/>
      <c r="Q143" s="5"/>
      <c r="R143" s="5"/>
      <c r="S143" s="5"/>
      <c r="T143" s="5"/>
      <c r="U143" s="5"/>
      <c r="V143" s="5"/>
      <c r="W143" s="5"/>
      <c r="X143" s="5"/>
      <c r="Y143" s="5"/>
      <c r="Z143" s="5"/>
    </row>
    <row r="144" spans="1:26" ht="12" customHeight="1" x14ac:dyDescent="0.5500000000000000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1.25" customHeight="1" x14ac:dyDescent="0.55000000000000004">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27.75" customHeight="1" x14ac:dyDescent="1">
      <c r="A146" s="5"/>
      <c r="B146" s="65" t="s">
        <v>820</v>
      </c>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 customHeight="1" x14ac:dyDescent="1">
      <c r="A147" s="5"/>
      <c r="B147" s="6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 customHeight="1" x14ac:dyDescent="0.55000000000000004">
      <c r="A148" s="5"/>
      <c r="B148" s="5"/>
      <c r="C148" s="141" t="s">
        <v>821</v>
      </c>
      <c r="D148" s="142"/>
      <c r="E148" s="142"/>
      <c r="F148" s="142"/>
      <c r="G148" s="142"/>
      <c r="H148" s="5"/>
      <c r="I148" s="5"/>
      <c r="J148" s="5"/>
      <c r="K148" s="5"/>
      <c r="L148" s="5"/>
      <c r="M148" s="5"/>
      <c r="N148" s="5"/>
      <c r="O148" s="5"/>
      <c r="P148" s="5"/>
      <c r="Q148" s="5"/>
      <c r="R148" s="5"/>
      <c r="S148" s="5"/>
      <c r="T148" s="5"/>
      <c r="U148" s="5"/>
      <c r="V148" s="5"/>
      <c r="W148" s="5"/>
      <c r="X148" s="5"/>
      <c r="Y148" s="5"/>
      <c r="Z148" s="5"/>
    </row>
    <row r="149" spans="1:26" ht="90" customHeight="1" x14ac:dyDescent="0.55000000000000004">
      <c r="A149" s="5"/>
      <c r="B149" s="5"/>
      <c r="C149" s="141" t="s">
        <v>822</v>
      </c>
      <c r="D149" s="142"/>
      <c r="E149" s="142"/>
      <c r="F149" s="142"/>
      <c r="G149" s="142"/>
      <c r="H149" s="5"/>
      <c r="I149" s="5"/>
      <c r="J149" s="5"/>
      <c r="K149" s="5"/>
      <c r="L149" s="5"/>
      <c r="M149" s="5"/>
      <c r="N149" s="5"/>
      <c r="O149" s="5"/>
      <c r="P149" s="5"/>
      <c r="Q149" s="5"/>
      <c r="R149" s="5"/>
      <c r="S149" s="5"/>
      <c r="T149" s="5"/>
      <c r="U149" s="5"/>
      <c r="V149" s="5"/>
      <c r="W149" s="5"/>
      <c r="X149" s="5"/>
      <c r="Y149" s="5"/>
      <c r="Z149" s="5"/>
    </row>
    <row r="150" spans="1:26" ht="12" customHeight="1" x14ac:dyDescent="0.55000000000000004">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 customHeight="1" x14ac:dyDescent="0.55000000000000004">
      <c r="A151" s="5"/>
      <c r="B151" s="5"/>
      <c r="C151" s="5" t="s">
        <v>605</v>
      </c>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 customHeight="1" x14ac:dyDescent="0.55000000000000004">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 customHeight="1" x14ac:dyDescent="0.55000000000000004">
      <c r="A153" s="5"/>
      <c r="B153" s="5"/>
      <c r="C153" s="5" t="s">
        <v>823</v>
      </c>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 customHeight="1" x14ac:dyDescent="0.5500000000000000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 customHeight="1" x14ac:dyDescent="0.55000000000000004">
      <c r="A155" s="5"/>
      <c r="B155" s="5"/>
      <c r="C155" s="5" t="s">
        <v>824</v>
      </c>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 customHeight="1" x14ac:dyDescent="0.55000000000000004">
      <c r="A156" s="5"/>
      <c r="B156" s="5"/>
      <c r="C156" s="5" t="s">
        <v>825</v>
      </c>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 customHeight="1" x14ac:dyDescent="0.55000000000000004">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 customHeight="1" x14ac:dyDescent="0.55000000000000004">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31.5" customHeight="1" x14ac:dyDescent="1">
      <c r="A159" s="5"/>
      <c r="B159" s="65" t="s">
        <v>826</v>
      </c>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 customHeight="1" x14ac:dyDescent="1">
      <c r="A160" s="5"/>
      <c r="B160" s="6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 customHeight="1" x14ac:dyDescent="0.55000000000000004">
      <c r="A161" s="5"/>
      <c r="B161" s="5"/>
      <c r="C161" s="5" t="s">
        <v>827</v>
      </c>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 customHeight="1" x14ac:dyDescent="0.55000000000000004">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 customHeight="1" x14ac:dyDescent="0.55000000000000004">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 customHeight="1" x14ac:dyDescent="0.55000000000000004">
      <c r="A164" s="5"/>
      <c r="B164" s="5"/>
      <c r="C164" s="5" t="s">
        <v>605</v>
      </c>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 customHeight="1" x14ac:dyDescent="0.55000000000000004">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 customHeight="1" x14ac:dyDescent="0.55000000000000004">
      <c r="A166" s="5"/>
      <c r="B166" s="5"/>
      <c r="C166" s="5" t="s">
        <v>828</v>
      </c>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 customHeight="1" x14ac:dyDescent="0.55000000000000004">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 customHeight="1" x14ac:dyDescent="0.55000000000000004">
      <c r="A168" s="5"/>
      <c r="B168" s="5"/>
      <c r="C168" s="5" t="s">
        <v>829</v>
      </c>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 customHeight="1" x14ac:dyDescent="0.55000000000000004">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33.75" customHeight="1" x14ac:dyDescent="1">
      <c r="A170" s="5"/>
      <c r="B170" s="95" t="s">
        <v>830</v>
      </c>
      <c r="C170" s="5"/>
      <c r="D170" s="5"/>
      <c r="E170" s="96"/>
      <c r="F170" s="96"/>
      <c r="G170" s="5"/>
      <c r="H170" s="5"/>
      <c r="I170" s="5"/>
      <c r="J170" s="5"/>
      <c r="K170" s="5"/>
      <c r="L170" s="5"/>
      <c r="M170" s="5"/>
      <c r="N170" s="5"/>
      <c r="O170" s="5"/>
      <c r="P170" s="5"/>
      <c r="Q170" s="5"/>
      <c r="R170" s="5"/>
      <c r="S170" s="5"/>
      <c r="T170" s="5"/>
      <c r="U170" s="5"/>
      <c r="V170" s="5"/>
      <c r="W170" s="5"/>
      <c r="X170" s="5"/>
      <c r="Y170" s="5"/>
      <c r="Z170" s="5"/>
    </row>
    <row r="171" spans="1:26" ht="12" customHeight="1" x14ac:dyDescent="0.55000000000000004">
      <c r="A171" s="5"/>
      <c r="B171" s="97"/>
      <c r="C171" s="5"/>
      <c r="D171" s="5"/>
      <c r="E171" s="96"/>
      <c r="F171" s="96"/>
      <c r="G171" s="5"/>
      <c r="H171" s="5"/>
      <c r="I171" s="5"/>
      <c r="J171" s="5"/>
      <c r="K171" s="5"/>
      <c r="L171" s="5"/>
      <c r="M171" s="5"/>
      <c r="N171" s="5"/>
      <c r="O171" s="5"/>
      <c r="P171" s="5"/>
      <c r="Q171" s="5"/>
      <c r="R171" s="5"/>
      <c r="S171" s="5"/>
      <c r="T171" s="5"/>
      <c r="U171" s="5"/>
      <c r="V171" s="5"/>
      <c r="W171" s="5"/>
      <c r="X171" s="5"/>
      <c r="Y171" s="5"/>
      <c r="Z171" s="5"/>
    </row>
    <row r="172" spans="1:26" ht="12" customHeight="1" x14ac:dyDescent="0.55000000000000004">
      <c r="A172" s="5"/>
      <c r="B172" s="98" t="s">
        <v>831</v>
      </c>
      <c r="C172" s="99" t="s">
        <v>832</v>
      </c>
      <c r="D172" s="99" t="s">
        <v>833</v>
      </c>
      <c r="E172" s="100" t="s">
        <v>834</v>
      </c>
      <c r="F172" s="101" t="s">
        <v>835</v>
      </c>
      <c r="G172" s="5"/>
      <c r="H172" s="5"/>
      <c r="I172" s="5"/>
      <c r="J172" s="5"/>
      <c r="K172" s="5"/>
      <c r="L172" s="5"/>
      <c r="M172" s="5"/>
      <c r="N172" s="5"/>
      <c r="O172" s="5"/>
      <c r="P172" s="5"/>
      <c r="Q172" s="5"/>
      <c r="R172" s="5"/>
      <c r="S172" s="5"/>
      <c r="T172" s="5"/>
      <c r="U172" s="5"/>
      <c r="V172" s="5"/>
      <c r="W172" s="5"/>
      <c r="X172" s="5"/>
      <c r="Y172" s="5"/>
      <c r="Z172" s="5"/>
    </row>
    <row r="173" spans="1:26" ht="12" customHeight="1" x14ac:dyDescent="0.6">
      <c r="A173" s="5"/>
      <c r="B173" s="102" t="s">
        <v>836</v>
      </c>
      <c r="C173" s="103">
        <v>1</v>
      </c>
      <c r="D173" s="103" t="s">
        <v>837</v>
      </c>
      <c r="E173" s="104">
        <v>11500000</v>
      </c>
      <c r="F173" s="105"/>
      <c r="G173" s="5"/>
      <c r="H173" s="5"/>
      <c r="I173" s="5"/>
      <c r="J173" s="5"/>
      <c r="K173" s="5"/>
      <c r="L173" s="5"/>
      <c r="M173" s="5"/>
      <c r="N173" s="5"/>
      <c r="O173" s="5"/>
      <c r="P173" s="5"/>
      <c r="Q173" s="5"/>
      <c r="R173" s="5"/>
      <c r="S173" s="5"/>
      <c r="T173" s="5"/>
      <c r="U173" s="5"/>
      <c r="V173" s="5"/>
      <c r="W173" s="5"/>
      <c r="X173" s="5"/>
      <c r="Y173" s="5"/>
      <c r="Z173" s="5"/>
    </row>
    <row r="174" spans="1:26" ht="12" customHeight="1" x14ac:dyDescent="0.6">
      <c r="A174" s="5"/>
      <c r="B174" s="106" t="s">
        <v>836</v>
      </c>
      <c r="C174" s="107">
        <v>2</v>
      </c>
      <c r="D174" s="107" t="s">
        <v>838</v>
      </c>
      <c r="E174" s="104">
        <v>34000000</v>
      </c>
      <c r="F174" s="105"/>
      <c r="G174" s="5"/>
      <c r="H174" s="108" t="s">
        <v>839</v>
      </c>
      <c r="I174" s="5"/>
      <c r="J174" s="5"/>
      <c r="K174" s="5"/>
      <c r="L174" s="5"/>
      <c r="M174" s="5"/>
      <c r="N174" s="5"/>
      <c r="O174" s="5"/>
      <c r="P174" s="5"/>
      <c r="Q174" s="5"/>
      <c r="R174" s="5"/>
      <c r="S174" s="5"/>
      <c r="T174" s="5"/>
      <c r="U174" s="5"/>
      <c r="V174" s="5"/>
      <c r="W174" s="5"/>
      <c r="X174" s="5"/>
      <c r="Y174" s="5"/>
      <c r="Z174" s="5"/>
    </row>
    <row r="175" spans="1:26" ht="12" customHeight="1" x14ac:dyDescent="0.6">
      <c r="A175" s="5"/>
      <c r="B175" s="106" t="s">
        <v>836</v>
      </c>
      <c r="C175" s="107">
        <v>3</v>
      </c>
      <c r="D175" s="107" t="s">
        <v>840</v>
      </c>
      <c r="E175" s="104">
        <v>34000000</v>
      </c>
      <c r="F175" s="105"/>
      <c r="G175" s="5"/>
      <c r="H175" s="5"/>
      <c r="I175" s="5"/>
      <c r="J175" s="5"/>
      <c r="K175" s="5"/>
      <c r="L175" s="5"/>
      <c r="M175" s="5"/>
      <c r="N175" s="5"/>
      <c r="O175" s="5"/>
      <c r="P175" s="5"/>
      <c r="Q175" s="5"/>
      <c r="R175" s="5"/>
      <c r="S175" s="5"/>
      <c r="T175" s="5"/>
      <c r="U175" s="5"/>
      <c r="V175" s="5"/>
      <c r="W175" s="5"/>
      <c r="X175" s="5"/>
      <c r="Y175" s="5"/>
      <c r="Z175" s="5"/>
    </row>
    <row r="176" spans="1:26" ht="12" customHeight="1" x14ac:dyDescent="0.6">
      <c r="A176" s="5"/>
      <c r="B176" s="106" t="s">
        <v>841</v>
      </c>
      <c r="C176" s="107">
        <v>1</v>
      </c>
      <c r="D176" s="107" t="s">
        <v>842</v>
      </c>
      <c r="E176" s="104">
        <v>45000000</v>
      </c>
      <c r="F176" s="105"/>
      <c r="G176" s="5"/>
      <c r="H176" s="5" t="s">
        <v>843</v>
      </c>
      <c r="I176" s="5"/>
      <c r="J176" s="5"/>
      <c r="K176" s="5"/>
      <c r="L176" s="5"/>
      <c r="M176" s="5"/>
      <c r="N176" s="5"/>
      <c r="O176" s="5"/>
      <c r="P176" s="5"/>
      <c r="Q176" s="5"/>
      <c r="R176" s="5"/>
      <c r="S176" s="5"/>
      <c r="T176" s="5"/>
      <c r="U176" s="5"/>
      <c r="V176" s="5"/>
      <c r="W176" s="5"/>
      <c r="X176" s="5"/>
      <c r="Y176" s="5"/>
      <c r="Z176" s="5"/>
    </row>
    <row r="177" spans="1:26" ht="12" customHeight="1" x14ac:dyDescent="0.6">
      <c r="A177" s="5"/>
      <c r="B177" s="106" t="s">
        <v>841</v>
      </c>
      <c r="C177" s="107">
        <v>2</v>
      </c>
      <c r="D177" s="107" t="s">
        <v>844</v>
      </c>
      <c r="E177" s="104">
        <v>37500000</v>
      </c>
      <c r="F177" s="105"/>
      <c r="G177" s="5"/>
      <c r="H177" s="5"/>
      <c r="I177" s="5"/>
      <c r="J177" s="5"/>
      <c r="K177" s="5"/>
      <c r="L177" s="5"/>
      <c r="M177" s="5"/>
      <c r="N177" s="5"/>
      <c r="O177" s="5"/>
      <c r="P177" s="5"/>
      <c r="Q177" s="5"/>
      <c r="R177" s="5"/>
      <c r="S177" s="5"/>
      <c r="T177" s="5"/>
      <c r="U177" s="5"/>
      <c r="V177" s="5"/>
      <c r="W177" s="5"/>
      <c r="X177" s="5"/>
      <c r="Y177" s="5"/>
      <c r="Z177" s="5"/>
    </row>
    <row r="178" spans="1:26" ht="12" customHeight="1" x14ac:dyDescent="0.6">
      <c r="A178" s="5"/>
      <c r="B178" s="106" t="s">
        <v>845</v>
      </c>
      <c r="C178" s="107">
        <v>1</v>
      </c>
      <c r="D178" s="107" t="s">
        <v>846</v>
      </c>
      <c r="E178" s="104">
        <v>19000000</v>
      </c>
      <c r="F178" s="105"/>
      <c r="G178" s="5"/>
      <c r="H178" s="5" t="s">
        <v>847</v>
      </c>
      <c r="I178" s="5"/>
      <c r="J178" s="5"/>
      <c r="K178" s="5"/>
      <c r="L178" s="5"/>
      <c r="M178" s="5"/>
      <c r="N178" s="5"/>
      <c r="O178" s="5"/>
      <c r="P178" s="5"/>
      <c r="Q178" s="5"/>
      <c r="R178" s="5"/>
      <c r="S178" s="5"/>
      <c r="T178" s="5"/>
      <c r="U178" s="5"/>
      <c r="V178" s="5"/>
      <c r="W178" s="5"/>
      <c r="X178" s="5"/>
      <c r="Y178" s="5"/>
      <c r="Z178" s="5"/>
    </row>
    <row r="179" spans="1:26" ht="12" customHeight="1" x14ac:dyDescent="0.6">
      <c r="A179" s="5"/>
      <c r="B179" s="106" t="s">
        <v>845</v>
      </c>
      <c r="C179" s="107">
        <v>2</v>
      </c>
      <c r="D179" s="107" t="s">
        <v>848</v>
      </c>
      <c r="E179" s="104">
        <v>19000000</v>
      </c>
      <c r="F179" s="105"/>
      <c r="G179" s="5"/>
      <c r="H179" s="5" t="s">
        <v>849</v>
      </c>
      <c r="I179" s="5"/>
      <c r="J179" s="5"/>
      <c r="K179" s="5"/>
      <c r="L179" s="5"/>
      <c r="M179" s="5"/>
      <c r="N179" s="5"/>
      <c r="O179" s="5"/>
      <c r="P179" s="5"/>
      <c r="Q179" s="5"/>
      <c r="R179" s="5"/>
      <c r="S179" s="5"/>
      <c r="T179" s="5"/>
      <c r="U179" s="5"/>
      <c r="V179" s="5"/>
      <c r="W179" s="5"/>
      <c r="X179" s="5"/>
      <c r="Y179" s="5"/>
      <c r="Z179" s="5"/>
    </row>
    <row r="180" spans="1:26" ht="12" customHeight="1" x14ac:dyDescent="0.6">
      <c r="A180" s="5"/>
      <c r="B180" s="106" t="s">
        <v>850</v>
      </c>
      <c r="C180" s="107">
        <v>1</v>
      </c>
      <c r="D180" s="107" t="s">
        <v>851</v>
      </c>
      <c r="E180" s="104">
        <v>20000000</v>
      </c>
      <c r="F180" s="105"/>
      <c r="G180" s="5"/>
      <c r="H180" s="5" t="s">
        <v>852</v>
      </c>
      <c r="I180" s="5"/>
      <c r="J180" s="5"/>
      <c r="K180" s="5"/>
      <c r="L180" s="5"/>
      <c r="M180" s="5"/>
      <c r="N180" s="5"/>
      <c r="O180" s="5"/>
      <c r="P180" s="5"/>
      <c r="Q180" s="5"/>
      <c r="R180" s="5"/>
      <c r="S180" s="5"/>
      <c r="T180" s="5"/>
      <c r="U180" s="5"/>
      <c r="V180" s="5"/>
      <c r="W180" s="5"/>
      <c r="X180" s="5"/>
      <c r="Y180" s="5"/>
      <c r="Z180" s="5"/>
    </row>
    <row r="181" spans="1:26" ht="12" customHeight="1" x14ac:dyDescent="0.6">
      <c r="A181" s="5"/>
      <c r="B181" s="106" t="s">
        <v>850</v>
      </c>
      <c r="C181" s="107">
        <v>2</v>
      </c>
      <c r="D181" s="107" t="s">
        <v>853</v>
      </c>
      <c r="E181" s="104">
        <v>34000000</v>
      </c>
      <c r="F181" s="105"/>
      <c r="G181" s="5"/>
      <c r="H181" s="5" t="s">
        <v>854</v>
      </c>
      <c r="I181" s="5"/>
      <c r="J181" s="5"/>
      <c r="K181" s="5"/>
      <c r="L181" s="5"/>
      <c r="M181" s="5"/>
      <c r="N181" s="5"/>
      <c r="O181" s="5"/>
      <c r="P181" s="5"/>
      <c r="Q181" s="5"/>
      <c r="R181" s="5"/>
      <c r="S181" s="5"/>
      <c r="T181" s="5"/>
      <c r="U181" s="5"/>
      <c r="V181" s="5"/>
      <c r="W181" s="5"/>
      <c r="X181" s="5"/>
      <c r="Y181" s="5"/>
      <c r="Z181" s="5"/>
    </row>
    <row r="182" spans="1:26" ht="12" customHeight="1" x14ac:dyDescent="0.6">
      <c r="A182" s="5"/>
      <c r="B182" s="106">
        <v>531110</v>
      </c>
      <c r="C182" s="107">
        <v>1</v>
      </c>
      <c r="D182" s="107" t="s">
        <v>855</v>
      </c>
      <c r="E182" s="104">
        <v>34000000</v>
      </c>
      <c r="F182" s="105"/>
      <c r="G182" s="5"/>
      <c r="H182" s="5" t="s">
        <v>856</v>
      </c>
      <c r="I182" s="5"/>
      <c r="J182" s="5"/>
      <c r="K182" s="5"/>
      <c r="L182" s="5"/>
      <c r="M182" s="5"/>
      <c r="N182" s="5"/>
      <c r="O182" s="5"/>
      <c r="P182" s="5"/>
      <c r="Q182" s="5"/>
      <c r="R182" s="5"/>
      <c r="S182" s="5"/>
      <c r="T182" s="5"/>
      <c r="U182" s="5"/>
      <c r="V182" s="5"/>
      <c r="W182" s="5"/>
      <c r="X182" s="5"/>
      <c r="Y182" s="5"/>
      <c r="Z182" s="5"/>
    </row>
    <row r="183" spans="1:26" ht="12" customHeight="1" x14ac:dyDescent="0.6">
      <c r="A183" s="5"/>
      <c r="B183" s="106">
        <v>531110</v>
      </c>
      <c r="C183" s="107">
        <v>2</v>
      </c>
      <c r="D183" s="107" t="s">
        <v>857</v>
      </c>
      <c r="E183" s="104">
        <v>47000000</v>
      </c>
      <c r="F183" s="105"/>
      <c r="G183" s="5"/>
      <c r="H183" s="5"/>
      <c r="I183" s="5"/>
      <c r="J183" s="5"/>
      <c r="K183" s="5"/>
      <c r="L183" s="5"/>
      <c r="M183" s="5"/>
      <c r="N183" s="5"/>
      <c r="O183" s="5"/>
      <c r="P183" s="5"/>
      <c r="Q183" s="5"/>
      <c r="R183" s="5"/>
      <c r="S183" s="5"/>
      <c r="T183" s="5"/>
      <c r="U183" s="5"/>
      <c r="V183" s="5"/>
      <c r="W183" s="5"/>
      <c r="X183" s="5"/>
      <c r="Y183" s="5"/>
      <c r="Z183" s="5"/>
    </row>
    <row r="184" spans="1:26" ht="12" customHeight="1" x14ac:dyDescent="0.6">
      <c r="A184" s="5"/>
      <c r="B184" s="106">
        <v>531120</v>
      </c>
      <c r="C184" s="107">
        <v>1</v>
      </c>
      <c r="D184" s="107" t="s">
        <v>858</v>
      </c>
      <c r="E184" s="104">
        <v>34000000</v>
      </c>
      <c r="F184" s="105"/>
      <c r="G184" s="5"/>
      <c r="H184" s="109" t="s">
        <v>859</v>
      </c>
      <c r="I184" s="5"/>
      <c r="J184" s="5"/>
      <c r="K184" s="5"/>
      <c r="L184" s="5"/>
      <c r="M184" s="5"/>
      <c r="N184" s="5"/>
      <c r="O184" s="5"/>
      <c r="P184" s="5"/>
      <c r="Q184" s="5"/>
      <c r="R184" s="5"/>
      <c r="S184" s="5"/>
      <c r="T184" s="5"/>
      <c r="U184" s="5"/>
      <c r="V184" s="5"/>
      <c r="W184" s="5"/>
      <c r="X184" s="5"/>
      <c r="Y184" s="5"/>
      <c r="Z184" s="5"/>
    </row>
    <row r="185" spans="1:26" ht="47.25" customHeight="1" x14ac:dyDescent="0.6">
      <c r="A185" s="5"/>
      <c r="B185" s="106">
        <v>531120</v>
      </c>
      <c r="C185" s="107">
        <v>2</v>
      </c>
      <c r="D185" s="107" t="s">
        <v>860</v>
      </c>
      <c r="E185" s="104">
        <v>47000000</v>
      </c>
      <c r="F185" s="105"/>
      <c r="G185" s="5"/>
      <c r="H185" s="141" t="s">
        <v>861</v>
      </c>
      <c r="I185" s="5"/>
      <c r="J185" s="5"/>
      <c r="K185" s="5"/>
      <c r="L185" s="5"/>
      <c r="M185" s="5"/>
      <c r="N185" s="5"/>
      <c r="O185" s="5"/>
      <c r="P185" s="5"/>
      <c r="Q185" s="5"/>
      <c r="R185" s="5"/>
      <c r="S185" s="5"/>
      <c r="T185" s="5"/>
      <c r="U185" s="5"/>
      <c r="V185" s="5"/>
      <c r="W185" s="5"/>
      <c r="X185" s="5"/>
      <c r="Y185" s="5"/>
      <c r="Z185" s="5"/>
    </row>
    <row r="186" spans="1:26" ht="12" customHeight="1" x14ac:dyDescent="0.6">
      <c r="A186" s="5"/>
      <c r="B186" s="106">
        <v>531130</v>
      </c>
      <c r="C186" s="107">
        <v>1</v>
      </c>
      <c r="D186" s="107" t="s">
        <v>862</v>
      </c>
      <c r="E186" s="104">
        <v>34000000</v>
      </c>
      <c r="F186" s="105"/>
      <c r="G186" s="5"/>
      <c r="H186" s="142"/>
      <c r="I186" s="5"/>
      <c r="J186" s="5"/>
      <c r="K186" s="5"/>
      <c r="L186" s="5"/>
      <c r="M186" s="5"/>
      <c r="N186" s="5"/>
      <c r="O186" s="5"/>
      <c r="P186" s="5"/>
      <c r="Q186" s="5"/>
      <c r="R186" s="5"/>
      <c r="S186" s="5"/>
      <c r="T186" s="5"/>
      <c r="U186" s="5"/>
      <c r="V186" s="5"/>
      <c r="W186" s="5"/>
      <c r="X186" s="5"/>
      <c r="Y186" s="5"/>
      <c r="Z186" s="5"/>
    </row>
    <row r="187" spans="1:26" ht="12" customHeight="1" x14ac:dyDescent="0.6">
      <c r="A187" s="5"/>
      <c r="B187" s="106">
        <v>531130</v>
      </c>
      <c r="C187" s="107">
        <v>2</v>
      </c>
      <c r="D187" s="107" t="s">
        <v>863</v>
      </c>
      <c r="E187" s="104">
        <v>47000000</v>
      </c>
      <c r="F187" s="105"/>
      <c r="G187" s="5"/>
      <c r="H187" s="5"/>
      <c r="I187" s="5"/>
      <c r="J187" s="5"/>
      <c r="K187" s="5"/>
      <c r="L187" s="5"/>
      <c r="M187" s="5"/>
      <c r="N187" s="5"/>
      <c r="O187" s="5"/>
      <c r="P187" s="5"/>
      <c r="Q187" s="5"/>
      <c r="R187" s="5"/>
      <c r="S187" s="5"/>
      <c r="T187" s="5"/>
      <c r="U187" s="5"/>
      <c r="V187" s="5"/>
      <c r="W187" s="5"/>
      <c r="X187" s="5"/>
      <c r="Y187" s="5"/>
      <c r="Z187" s="5"/>
    </row>
    <row r="188" spans="1:26" ht="12" customHeight="1" x14ac:dyDescent="0.6">
      <c r="A188" s="5"/>
      <c r="B188" s="106">
        <v>531190</v>
      </c>
      <c r="C188" s="107">
        <v>1</v>
      </c>
      <c r="D188" s="107" t="s">
        <v>864</v>
      </c>
      <c r="E188" s="104">
        <v>34000000</v>
      </c>
      <c r="F188" s="105"/>
      <c r="G188" s="5"/>
      <c r="H188" s="5"/>
      <c r="I188" s="5"/>
      <c r="J188" s="5"/>
      <c r="K188" s="5"/>
      <c r="L188" s="5"/>
      <c r="M188" s="5"/>
      <c r="N188" s="5"/>
      <c r="O188" s="5"/>
      <c r="P188" s="5"/>
      <c r="Q188" s="5"/>
      <c r="R188" s="5"/>
      <c r="S188" s="5"/>
      <c r="T188" s="5"/>
      <c r="U188" s="5"/>
      <c r="V188" s="5"/>
      <c r="W188" s="5"/>
      <c r="X188" s="5"/>
      <c r="Y188" s="5"/>
      <c r="Z188" s="5"/>
    </row>
    <row r="189" spans="1:26" ht="12" customHeight="1" x14ac:dyDescent="0.6">
      <c r="A189" s="5"/>
      <c r="B189" s="106">
        <v>531190</v>
      </c>
      <c r="C189" s="107">
        <v>2</v>
      </c>
      <c r="D189" s="107" t="s">
        <v>865</v>
      </c>
      <c r="E189" s="104">
        <v>47000000</v>
      </c>
      <c r="F189" s="105"/>
      <c r="G189" s="5"/>
      <c r="H189" s="5"/>
      <c r="I189" s="5"/>
      <c r="J189" s="5"/>
      <c r="K189" s="5"/>
      <c r="L189" s="5"/>
      <c r="M189" s="5"/>
      <c r="N189" s="5"/>
      <c r="O189" s="5"/>
      <c r="P189" s="5"/>
      <c r="Q189" s="5"/>
      <c r="R189" s="5"/>
      <c r="S189" s="5"/>
      <c r="T189" s="5"/>
      <c r="U189" s="5"/>
      <c r="V189" s="5"/>
      <c r="W189" s="5"/>
      <c r="X189" s="5"/>
      <c r="Y189" s="5"/>
      <c r="Z189" s="5"/>
    </row>
    <row r="190" spans="1:26" ht="12" customHeight="1" x14ac:dyDescent="0.6">
      <c r="A190" s="5"/>
      <c r="B190" s="106" t="s">
        <v>866</v>
      </c>
      <c r="C190" s="107">
        <v>1</v>
      </c>
      <c r="D190" s="107" t="s">
        <v>867</v>
      </c>
      <c r="E190" s="104">
        <v>25500000</v>
      </c>
      <c r="F190" s="105"/>
      <c r="G190" s="5"/>
      <c r="H190" s="5"/>
      <c r="I190" s="5"/>
      <c r="J190" s="5"/>
      <c r="K190" s="5"/>
      <c r="L190" s="5"/>
      <c r="M190" s="5"/>
      <c r="N190" s="5"/>
      <c r="O190" s="5"/>
      <c r="P190" s="5"/>
      <c r="Q190" s="5"/>
      <c r="R190" s="5"/>
      <c r="S190" s="5"/>
      <c r="T190" s="5"/>
      <c r="U190" s="5"/>
      <c r="V190" s="5"/>
      <c r="W190" s="5"/>
      <c r="X190" s="5"/>
      <c r="Y190" s="5"/>
      <c r="Z190" s="5"/>
    </row>
    <row r="191" spans="1:26" ht="12" customHeight="1" x14ac:dyDescent="0.6">
      <c r="A191" s="5"/>
      <c r="B191" s="106" t="s">
        <v>866</v>
      </c>
      <c r="C191" s="107">
        <v>2</v>
      </c>
      <c r="D191" s="107" t="s">
        <v>868</v>
      </c>
      <c r="E191" s="104">
        <v>47000000</v>
      </c>
      <c r="F191" s="105"/>
      <c r="G191" s="5"/>
      <c r="H191" s="5"/>
      <c r="I191" s="5"/>
      <c r="J191" s="5"/>
      <c r="K191" s="5"/>
      <c r="L191" s="5"/>
      <c r="M191" s="5"/>
      <c r="N191" s="5"/>
      <c r="O191" s="5"/>
      <c r="P191" s="5"/>
      <c r="Q191" s="5"/>
      <c r="R191" s="5"/>
      <c r="S191" s="5"/>
      <c r="T191" s="5"/>
      <c r="U191" s="5"/>
      <c r="V191" s="5"/>
      <c r="W191" s="5"/>
      <c r="X191" s="5"/>
      <c r="Y191" s="5"/>
      <c r="Z191" s="5"/>
    </row>
    <row r="192" spans="1:26" ht="12" customHeight="1" x14ac:dyDescent="0.6">
      <c r="A192" s="5"/>
      <c r="B192" s="106" t="s">
        <v>866</v>
      </c>
      <c r="C192" s="107">
        <v>3</v>
      </c>
      <c r="D192" s="107" t="s">
        <v>869</v>
      </c>
      <c r="E192" s="104">
        <v>47000000</v>
      </c>
      <c r="F192" s="105"/>
      <c r="G192" s="5"/>
      <c r="H192" s="5"/>
      <c r="I192" s="5"/>
      <c r="J192" s="5"/>
      <c r="K192" s="5"/>
      <c r="L192" s="5"/>
      <c r="M192" s="5"/>
      <c r="N192" s="5"/>
      <c r="O192" s="5"/>
      <c r="P192" s="5"/>
      <c r="Q192" s="5"/>
      <c r="R192" s="5"/>
      <c r="S192" s="5"/>
      <c r="T192" s="5"/>
      <c r="U192" s="5"/>
      <c r="V192" s="5"/>
      <c r="W192" s="5"/>
      <c r="X192" s="5"/>
      <c r="Y192" s="5"/>
      <c r="Z192" s="5"/>
    </row>
    <row r="193" spans="1:26" ht="12" customHeight="1" x14ac:dyDescent="0.6">
      <c r="A193" s="5"/>
      <c r="B193" s="106" t="s">
        <v>866</v>
      </c>
      <c r="C193" s="107">
        <v>4</v>
      </c>
      <c r="D193" s="107" t="s">
        <v>870</v>
      </c>
      <c r="E193" s="104">
        <v>47000000</v>
      </c>
      <c r="F193" s="105"/>
      <c r="G193" s="5"/>
      <c r="H193" s="5"/>
      <c r="I193" s="5"/>
      <c r="J193" s="5"/>
      <c r="K193" s="5"/>
      <c r="L193" s="5"/>
      <c r="M193" s="5"/>
      <c r="N193" s="5"/>
      <c r="O193" s="5"/>
      <c r="P193" s="5"/>
      <c r="Q193" s="5"/>
      <c r="R193" s="5"/>
      <c r="S193" s="5"/>
      <c r="T193" s="5"/>
      <c r="U193" s="5"/>
      <c r="V193" s="5"/>
      <c r="W193" s="5"/>
      <c r="X193" s="5"/>
      <c r="Y193" s="5"/>
      <c r="Z193" s="5"/>
    </row>
    <row r="194" spans="1:26" ht="12" customHeight="1" x14ac:dyDescent="0.6">
      <c r="A194" s="5"/>
      <c r="B194" s="106" t="s">
        <v>871</v>
      </c>
      <c r="C194" s="107">
        <v>1</v>
      </c>
      <c r="D194" s="107" t="s">
        <v>872</v>
      </c>
      <c r="E194" s="104">
        <v>34000000</v>
      </c>
      <c r="F194" s="105"/>
      <c r="G194" s="5"/>
      <c r="H194" s="5"/>
      <c r="I194" s="5"/>
      <c r="J194" s="5"/>
      <c r="K194" s="5"/>
      <c r="L194" s="5"/>
      <c r="M194" s="5"/>
      <c r="N194" s="5"/>
      <c r="O194" s="5"/>
      <c r="P194" s="5"/>
      <c r="Q194" s="5"/>
      <c r="R194" s="5"/>
      <c r="S194" s="5"/>
      <c r="T194" s="5"/>
      <c r="U194" s="5"/>
      <c r="V194" s="5"/>
      <c r="W194" s="5"/>
      <c r="X194" s="5"/>
      <c r="Y194" s="5"/>
      <c r="Z194" s="5"/>
    </row>
    <row r="195" spans="1:26" ht="12" customHeight="1" x14ac:dyDescent="0.55000000000000004">
      <c r="A195" s="5"/>
      <c r="B195" s="106" t="s">
        <v>871</v>
      </c>
      <c r="C195" s="107">
        <v>2</v>
      </c>
      <c r="D195" s="107" t="s">
        <v>873</v>
      </c>
      <c r="E195" s="110"/>
      <c r="F195" s="105">
        <v>150</v>
      </c>
      <c r="G195" s="5"/>
      <c r="H195" s="5"/>
      <c r="I195" s="5"/>
      <c r="J195" s="5"/>
      <c r="K195" s="5"/>
      <c r="L195" s="5"/>
      <c r="M195" s="5"/>
      <c r="N195" s="5"/>
      <c r="O195" s="5"/>
      <c r="P195" s="5"/>
      <c r="Q195" s="5"/>
      <c r="R195" s="5"/>
      <c r="S195" s="5"/>
      <c r="T195" s="5"/>
      <c r="U195" s="5"/>
      <c r="V195" s="5"/>
      <c r="W195" s="5"/>
      <c r="X195" s="5"/>
      <c r="Y195" s="5"/>
      <c r="Z195" s="5"/>
    </row>
    <row r="196" spans="1:26" ht="12" customHeight="1" x14ac:dyDescent="0.55000000000000004">
      <c r="A196" s="5"/>
      <c r="B196" s="106" t="s">
        <v>874</v>
      </c>
      <c r="C196" s="107">
        <v>1</v>
      </c>
      <c r="D196" s="107" t="s">
        <v>875</v>
      </c>
      <c r="E196" s="110"/>
      <c r="F196" s="105">
        <v>1000</v>
      </c>
      <c r="G196" s="5"/>
      <c r="H196" s="5"/>
      <c r="I196" s="5"/>
      <c r="J196" s="5"/>
      <c r="K196" s="5"/>
      <c r="L196" s="5"/>
      <c r="M196" s="5"/>
      <c r="N196" s="5"/>
      <c r="O196" s="5"/>
      <c r="P196" s="5"/>
      <c r="Q196" s="5"/>
      <c r="R196" s="5"/>
      <c r="S196" s="5"/>
      <c r="T196" s="5"/>
      <c r="U196" s="5"/>
      <c r="V196" s="5"/>
      <c r="W196" s="5"/>
      <c r="X196" s="5"/>
      <c r="Y196" s="5"/>
      <c r="Z196" s="5"/>
    </row>
    <row r="197" spans="1:26" ht="12" customHeight="1" x14ac:dyDescent="0.55000000000000004">
      <c r="A197" s="5"/>
      <c r="B197" s="106" t="s">
        <v>874</v>
      </c>
      <c r="C197" s="107">
        <v>2</v>
      </c>
      <c r="D197" s="107" t="s">
        <v>876</v>
      </c>
      <c r="E197" s="110"/>
      <c r="F197" s="105">
        <v>1500</v>
      </c>
      <c r="G197" s="5"/>
      <c r="H197" s="5"/>
      <c r="I197" s="5"/>
      <c r="J197" s="5"/>
      <c r="K197" s="5"/>
      <c r="L197" s="5"/>
      <c r="M197" s="5"/>
      <c r="N197" s="5"/>
      <c r="O197" s="5"/>
      <c r="P197" s="5"/>
      <c r="Q197" s="5"/>
      <c r="R197" s="5"/>
      <c r="S197" s="5"/>
      <c r="T197" s="5"/>
      <c r="U197" s="5"/>
      <c r="V197" s="5"/>
      <c r="W197" s="5"/>
      <c r="X197" s="5"/>
      <c r="Y197" s="5"/>
      <c r="Z197" s="5"/>
    </row>
    <row r="198" spans="1:26" ht="12" customHeight="1" x14ac:dyDescent="0.55000000000000004">
      <c r="A198" s="5"/>
      <c r="B198" s="106" t="s">
        <v>874</v>
      </c>
      <c r="C198" s="107">
        <v>3</v>
      </c>
      <c r="D198" s="107" t="s">
        <v>877</v>
      </c>
      <c r="E198" s="110"/>
      <c r="F198" s="105">
        <v>1250</v>
      </c>
      <c r="G198" s="5"/>
      <c r="H198" s="5"/>
      <c r="I198" s="5"/>
      <c r="J198" s="5"/>
      <c r="K198" s="5"/>
      <c r="L198" s="5"/>
      <c r="M198" s="5"/>
      <c r="N198" s="5"/>
      <c r="O198" s="5"/>
      <c r="P198" s="5"/>
      <c r="Q198" s="5"/>
      <c r="R198" s="5"/>
      <c r="S198" s="5"/>
      <c r="T198" s="5"/>
      <c r="U198" s="5"/>
      <c r="V198" s="5"/>
      <c r="W198" s="5"/>
      <c r="X198" s="5"/>
      <c r="Y198" s="5"/>
      <c r="Z198" s="5"/>
    </row>
    <row r="199" spans="1:26" ht="12" customHeight="1" x14ac:dyDescent="0.55000000000000004">
      <c r="A199" s="5"/>
      <c r="B199" s="106" t="s">
        <v>874</v>
      </c>
      <c r="C199" s="107">
        <v>4</v>
      </c>
      <c r="D199" s="107" t="s">
        <v>878</v>
      </c>
      <c r="E199" s="110"/>
      <c r="F199" s="111">
        <v>1250</v>
      </c>
      <c r="G199" s="5"/>
      <c r="H199" s="5"/>
      <c r="I199" s="5"/>
      <c r="J199" s="5"/>
      <c r="K199" s="5"/>
      <c r="L199" s="5"/>
      <c r="M199" s="5"/>
      <c r="N199" s="5"/>
      <c r="O199" s="5"/>
      <c r="P199" s="5"/>
      <c r="Q199" s="5"/>
      <c r="R199" s="5"/>
      <c r="S199" s="5"/>
      <c r="T199" s="5"/>
      <c r="U199" s="5"/>
      <c r="V199" s="5"/>
      <c r="W199" s="5"/>
      <c r="X199" s="5"/>
      <c r="Y199" s="5"/>
      <c r="Z199" s="5"/>
    </row>
    <row r="200" spans="1:26" ht="12" customHeight="1" x14ac:dyDescent="0.6">
      <c r="A200" s="5"/>
      <c r="B200" s="106" t="s">
        <v>879</v>
      </c>
      <c r="C200" s="107">
        <v>1</v>
      </c>
      <c r="D200" s="107" t="s">
        <v>880</v>
      </c>
      <c r="E200" s="104">
        <v>25000000</v>
      </c>
      <c r="F200" s="112"/>
      <c r="G200" s="5"/>
      <c r="H200" s="5"/>
      <c r="I200" s="5"/>
      <c r="J200" s="5"/>
      <c r="K200" s="5"/>
      <c r="L200" s="5"/>
      <c r="M200" s="5"/>
      <c r="N200" s="5"/>
      <c r="O200" s="5"/>
      <c r="P200" s="5"/>
      <c r="Q200" s="5"/>
      <c r="R200" s="5"/>
      <c r="S200" s="5"/>
      <c r="T200" s="5"/>
      <c r="U200" s="5"/>
      <c r="V200" s="5"/>
      <c r="W200" s="5"/>
      <c r="X200" s="5"/>
      <c r="Y200" s="5"/>
      <c r="Z200" s="5"/>
    </row>
    <row r="201" spans="1:26" ht="12" customHeight="1" x14ac:dyDescent="0.6">
      <c r="A201" s="5"/>
      <c r="B201" s="106" t="s">
        <v>879</v>
      </c>
      <c r="C201" s="107">
        <v>2</v>
      </c>
      <c r="D201" s="107" t="s">
        <v>881</v>
      </c>
      <c r="E201" s="104"/>
      <c r="F201" s="113">
        <v>750</v>
      </c>
      <c r="G201" s="5"/>
      <c r="H201" s="5"/>
      <c r="I201" s="5"/>
      <c r="J201" s="5"/>
      <c r="K201" s="5"/>
      <c r="L201" s="5"/>
      <c r="M201" s="5"/>
      <c r="N201" s="5"/>
      <c r="O201" s="5"/>
      <c r="P201" s="5"/>
      <c r="Q201" s="5"/>
      <c r="R201" s="5"/>
      <c r="S201" s="5"/>
      <c r="T201" s="5"/>
      <c r="U201" s="5"/>
      <c r="V201" s="5"/>
      <c r="W201" s="5"/>
      <c r="X201" s="5"/>
      <c r="Y201" s="5"/>
      <c r="Z201" s="5"/>
    </row>
    <row r="202" spans="1:26" ht="12" customHeight="1" x14ac:dyDescent="0.6">
      <c r="A202" s="5"/>
      <c r="B202" s="106" t="s">
        <v>882</v>
      </c>
      <c r="C202" s="107">
        <v>1</v>
      </c>
      <c r="D202" s="107" t="s">
        <v>883</v>
      </c>
      <c r="E202" s="104">
        <v>21000000</v>
      </c>
      <c r="F202" s="105"/>
      <c r="G202" s="5"/>
      <c r="H202" s="5"/>
      <c r="I202" s="5"/>
      <c r="J202" s="5"/>
      <c r="K202" s="5"/>
      <c r="L202" s="5"/>
      <c r="M202" s="5"/>
      <c r="N202" s="5"/>
      <c r="O202" s="5"/>
      <c r="P202" s="5"/>
      <c r="Q202" s="5"/>
      <c r="R202" s="5"/>
      <c r="S202" s="5"/>
      <c r="T202" s="5"/>
      <c r="U202" s="5"/>
      <c r="V202" s="5"/>
      <c r="W202" s="5"/>
      <c r="X202" s="5"/>
      <c r="Y202" s="5"/>
      <c r="Z202" s="5"/>
    </row>
    <row r="203" spans="1:26" ht="12" customHeight="1" x14ac:dyDescent="0.6">
      <c r="A203" s="5"/>
      <c r="B203" s="114" t="s">
        <v>882</v>
      </c>
      <c r="C203" s="115">
        <v>2</v>
      </c>
      <c r="D203" s="115" t="s">
        <v>884</v>
      </c>
      <c r="E203" s="104">
        <v>47000000</v>
      </c>
      <c r="F203" s="105"/>
      <c r="G203" s="5"/>
      <c r="H203" s="5"/>
      <c r="I203" s="5"/>
      <c r="J203" s="5"/>
      <c r="K203" s="5"/>
      <c r="L203" s="5"/>
      <c r="M203" s="5"/>
      <c r="N203" s="5"/>
      <c r="O203" s="5"/>
      <c r="P203" s="5"/>
      <c r="Q203" s="5"/>
      <c r="R203" s="5"/>
      <c r="S203" s="5"/>
      <c r="T203" s="5"/>
      <c r="U203" s="5"/>
      <c r="V203" s="5"/>
      <c r="W203" s="5"/>
      <c r="X203" s="5"/>
      <c r="Y203" s="5"/>
      <c r="Z203" s="5"/>
    </row>
    <row r="204" spans="1:26" ht="12" customHeight="1" x14ac:dyDescent="0.550000000000000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 customHeight="1" x14ac:dyDescent="0.55000000000000004">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34.5" customHeight="1" x14ac:dyDescent="1">
      <c r="A206" s="5"/>
      <c r="B206" s="95" t="s">
        <v>885</v>
      </c>
      <c r="C206" s="5"/>
      <c r="D206" s="5"/>
      <c r="E206" s="96"/>
      <c r="F206" s="96"/>
      <c r="G206" s="5"/>
      <c r="H206" s="5"/>
      <c r="I206" s="5"/>
      <c r="J206" s="5"/>
      <c r="K206" s="5"/>
      <c r="L206" s="5"/>
      <c r="M206" s="5"/>
      <c r="N206" s="5"/>
      <c r="O206" s="5"/>
      <c r="P206" s="5"/>
      <c r="Q206" s="5"/>
      <c r="R206" s="5"/>
      <c r="S206" s="5"/>
      <c r="T206" s="5"/>
      <c r="U206" s="5"/>
      <c r="V206" s="5"/>
      <c r="W206" s="5"/>
      <c r="X206" s="5"/>
      <c r="Y206" s="5"/>
      <c r="Z206" s="5"/>
    </row>
    <row r="207" spans="1:26" ht="12" customHeight="1" x14ac:dyDescent="0.55000000000000004">
      <c r="A207" s="5"/>
      <c r="B207" s="5"/>
      <c r="C207" s="5"/>
      <c r="D207" s="5"/>
      <c r="E207" s="96"/>
      <c r="F207" s="96"/>
      <c r="G207" s="5"/>
      <c r="H207" s="5"/>
      <c r="I207" s="5"/>
      <c r="J207" s="5"/>
      <c r="K207" s="5"/>
      <c r="L207" s="5"/>
      <c r="M207" s="5"/>
      <c r="N207" s="5"/>
      <c r="O207" s="5"/>
      <c r="P207" s="5"/>
      <c r="Q207" s="5"/>
      <c r="R207" s="5"/>
      <c r="S207" s="5"/>
      <c r="T207" s="5"/>
      <c r="U207" s="5"/>
      <c r="V207" s="5"/>
      <c r="W207" s="5"/>
      <c r="X207" s="5"/>
      <c r="Y207" s="5"/>
      <c r="Z207" s="5"/>
    </row>
    <row r="208" spans="1:26" ht="12" customHeight="1" x14ac:dyDescent="0.55000000000000004">
      <c r="A208" s="5"/>
      <c r="B208" s="116" t="s">
        <v>831</v>
      </c>
      <c r="C208" s="117" t="s">
        <v>832</v>
      </c>
      <c r="D208" s="117" t="s">
        <v>833</v>
      </c>
      <c r="E208" s="118" t="s">
        <v>834</v>
      </c>
      <c r="F208" s="119" t="s">
        <v>835</v>
      </c>
      <c r="G208" s="5"/>
      <c r="H208" s="5"/>
      <c r="I208" s="5"/>
      <c r="J208" s="5"/>
      <c r="K208" s="5"/>
      <c r="L208" s="5"/>
      <c r="M208" s="5"/>
      <c r="N208" s="5"/>
      <c r="O208" s="5"/>
      <c r="P208" s="5"/>
      <c r="Q208" s="5"/>
      <c r="R208" s="5"/>
      <c r="S208" s="5"/>
      <c r="T208" s="5"/>
      <c r="U208" s="5"/>
      <c r="V208" s="5"/>
      <c r="W208" s="5"/>
      <c r="X208" s="5"/>
      <c r="Y208" s="5"/>
      <c r="Z208" s="5"/>
    </row>
    <row r="209" spans="1:26" ht="12" customHeight="1" x14ac:dyDescent="0.6">
      <c r="A209" s="5"/>
      <c r="B209" s="120" t="s">
        <v>836</v>
      </c>
      <c r="C209" s="103">
        <v>1</v>
      </c>
      <c r="D209" s="103" t="s">
        <v>886</v>
      </c>
      <c r="E209" s="104">
        <v>11500000</v>
      </c>
      <c r="F209" s="105"/>
      <c r="G209" s="5"/>
      <c r="H209" s="5"/>
      <c r="I209" s="5"/>
      <c r="J209" s="5"/>
      <c r="K209" s="5"/>
      <c r="L209" s="5"/>
      <c r="M209" s="5"/>
      <c r="N209" s="5"/>
      <c r="O209" s="5"/>
      <c r="P209" s="5"/>
      <c r="Q209" s="5"/>
      <c r="R209" s="5"/>
      <c r="S209" s="5"/>
      <c r="T209" s="5"/>
      <c r="U209" s="5"/>
      <c r="V209" s="5"/>
      <c r="W209" s="5"/>
      <c r="X209" s="5"/>
      <c r="Y209" s="5"/>
      <c r="Z209" s="5"/>
    </row>
    <row r="210" spans="1:26" ht="12" customHeight="1" x14ac:dyDescent="0.6">
      <c r="A210" s="5"/>
      <c r="B210" s="121" t="s">
        <v>836</v>
      </c>
      <c r="C210" s="107">
        <v>2</v>
      </c>
      <c r="D210" s="107" t="s">
        <v>887</v>
      </c>
      <c r="E210" s="104">
        <v>34000000</v>
      </c>
      <c r="F210" s="105"/>
      <c r="G210" s="5"/>
      <c r="H210" s="5"/>
      <c r="I210" s="5"/>
      <c r="J210" s="5"/>
      <c r="K210" s="5"/>
      <c r="L210" s="5"/>
      <c r="M210" s="5"/>
      <c r="N210" s="5"/>
      <c r="O210" s="5"/>
      <c r="P210" s="5"/>
      <c r="Q210" s="5"/>
      <c r="R210" s="5"/>
      <c r="S210" s="5"/>
      <c r="T210" s="5"/>
      <c r="U210" s="5"/>
      <c r="V210" s="5"/>
      <c r="W210" s="5"/>
      <c r="X210" s="5"/>
      <c r="Y210" s="5"/>
      <c r="Z210" s="5"/>
    </row>
    <row r="211" spans="1:26" ht="12" customHeight="1" x14ac:dyDescent="0.6">
      <c r="A211" s="5"/>
      <c r="B211" s="121" t="s">
        <v>836</v>
      </c>
      <c r="C211" s="107">
        <v>3</v>
      </c>
      <c r="D211" s="107" t="s">
        <v>888</v>
      </c>
      <c r="E211" s="104">
        <v>34000000</v>
      </c>
      <c r="F211" s="105"/>
      <c r="G211" s="5"/>
      <c r="H211" s="5"/>
      <c r="I211" s="5"/>
      <c r="J211" s="5"/>
      <c r="K211" s="5"/>
      <c r="L211" s="5"/>
      <c r="M211" s="5"/>
      <c r="N211" s="5"/>
      <c r="O211" s="5"/>
      <c r="P211" s="5"/>
      <c r="Q211" s="5"/>
      <c r="R211" s="5"/>
      <c r="S211" s="5"/>
      <c r="T211" s="5"/>
      <c r="U211" s="5"/>
      <c r="V211" s="5"/>
      <c r="W211" s="5"/>
      <c r="X211" s="5"/>
      <c r="Y211" s="5"/>
      <c r="Z211" s="5"/>
    </row>
    <row r="212" spans="1:26" ht="12" customHeight="1" x14ac:dyDescent="0.6">
      <c r="A212" s="5"/>
      <c r="B212" s="121" t="s">
        <v>841</v>
      </c>
      <c r="C212" s="107">
        <v>1</v>
      </c>
      <c r="D212" s="107" t="s">
        <v>889</v>
      </c>
      <c r="E212" s="104">
        <v>45000000</v>
      </c>
      <c r="F212" s="105"/>
      <c r="G212" s="5"/>
      <c r="H212" s="5"/>
      <c r="I212" s="5"/>
      <c r="J212" s="5"/>
      <c r="K212" s="5"/>
      <c r="L212" s="5"/>
      <c r="M212" s="5"/>
      <c r="N212" s="5"/>
      <c r="O212" s="5"/>
      <c r="P212" s="5"/>
      <c r="Q212" s="5"/>
      <c r="R212" s="5"/>
      <c r="S212" s="5"/>
      <c r="T212" s="5"/>
      <c r="U212" s="5"/>
      <c r="V212" s="5"/>
      <c r="W212" s="5"/>
      <c r="X212" s="5"/>
      <c r="Y212" s="5"/>
      <c r="Z212" s="5"/>
    </row>
    <row r="213" spans="1:26" ht="12" customHeight="1" x14ac:dyDescent="0.6">
      <c r="A213" s="5"/>
      <c r="B213" s="121" t="s">
        <v>841</v>
      </c>
      <c r="C213" s="107">
        <v>2</v>
      </c>
      <c r="D213" s="107" t="s">
        <v>890</v>
      </c>
      <c r="E213" s="104">
        <v>37500000</v>
      </c>
      <c r="F213" s="105"/>
      <c r="G213" s="5"/>
      <c r="H213" s="5"/>
      <c r="I213" s="5"/>
      <c r="J213" s="5"/>
      <c r="K213" s="5"/>
      <c r="L213" s="5"/>
      <c r="M213" s="5"/>
      <c r="N213" s="5"/>
      <c r="O213" s="5"/>
      <c r="P213" s="5"/>
      <c r="Q213" s="5"/>
      <c r="R213" s="5"/>
      <c r="S213" s="5"/>
      <c r="T213" s="5"/>
      <c r="U213" s="5"/>
      <c r="V213" s="5"/>
      <c r="W213" s="5"/>
      <c r="X213" s="5"/>
      <c r="Y213" s="5"/>
      <c r="Z213" s="5"/>
    </row>
    <row r="214" spans="1:26" ht="12" customHeight="1" x14ac:dyDescent="0.6">
      <c r="A214" s="5"/>
      <c r="B214" s="121">
        <v>238990</v>
      </c>
      <c r="C214" s="107">
        <v>1</v>
      </c>
      <c r="D214" s="107" t="s">
        <v>891</v>
      </c>
      <c r="E214" s="104">
        <v>19000000</v>
      </c>
      <c r="F214" s="105"/>
      <c r="G214" s="5"/>
      <c r="H214" s="5"/>
      <c r="I214" s="5"/>
      <c r="J214" s="5"/>
      <c r="K214" s="5"/>
      <c r="L214" s="5"/>
      <c r="M214" s="5"/>
      <c r="N214" s="5"/>
      <c r="O214" s="5"/>
      <c r="P214" s="5"/>
      <c r="Q214" s="5"/>
      <c r="R214" s="5"/>
      <c r="S214" s="5"/>
      <c r="T214" s="5"/>
      <c r="U214" s="5"/>
      <c r="V214" s="5"/>
      <c r="W214" s="5"/>
      <c r="X214" s="5"/>
      <c r="Y214" s="5"/>
      <c r="Z214" s="5"/>
    </row>
    <row r="215" spans="1:26" ht="12" customHeight="1" x14ac:dyDescent="0.6">
      <c r="A215" s="5"/>
      <c r="B215" s="121">
        <v>238990</v>
      </c>
      <c r="C215" s="107">
        <v>2</v>
      </c>
      <c r="D215" s="107" t="s">
        <v>892</v>
      </c>
      <c r="E215" s="104">
        <v>19000000</v>
      </c>
      <c r="F215" s="105"/>
      <c r="G215" s="5"/>
      <c r="H215" s="5"/>
      <c r="I215" s="5"/>
      <c r="J215" s="5"/>
      <c r="K215" s="5"/>
      <c r="L215" s="5"/>
      <c r="M215" s="5"/>
      <c r="N215" s="5"/>
      <c r="O215" s="5"/>
      <c r="P215" s="5"/>
      <c r="Q215" s="5"/>
      <c r="R215" s="5"/>
      <c r="S215" s="5"/>
      <c r="T215" s="5"/>
      <c r="U215" s="5"/>
      <c r="V215" s="5"/>
      <c r="W215" s="5"/>
      <c r="X215" s="5"/>
      <c r="Y215" s="5"/>
      <c r="Z215" s="5"/>
    </row>
    <row r="216" spans="1:26" ht="12" customHeight="1" x14ac:dyDescent="0.6">
      <c r="A216" s="5"/>
      <c r="B216" s="121" t="s">
        <v>850</v>
      </c>
      <c r="C216" s="107">
        <v>1</v>
      </c>
      <c r="D216" s="107" t="s">
        <v>893</v>
      </c>
      <c r="E216" s="104">
        <v>20000000</v>
      </c>
      <c r="F216" s="105"/>
      <c r="G216" s="5"/>
      <c r="H216" s="5"/>
      <c r="I216" s="5"/>
      <c r="J216" s="5"/>
      <c r="K216" s="5"/>
      <c r="L216" s="5"/>
      <c r="M216" s="5"/>
      <c r="N216" s="5"/>
      <c r="O216" s="5"/>
      <c r="P216" s="5"/>
      <c r="Q216" s="5"/>
      <c r="R216" s="5"/>
      <c r="S216" s="5"/>
      <c r="T216" s="5"/>
      <c r="U216" s="5"/>
      <c r="V216" s="5"/>
      <c r="W216" s="5"/>
      <c r="X216" s="5"/>
      <c r="Y216" s="5"/>
      <c r="Z216" s="5"/>
    </row>
    <row r="217" spans="1:26" ht="12" customHeight="1" x14ac:dyDescent="0.6">
      <c r="A217" s="5"/>
      <c r="B217" s="121" t="s">
        <v>850</v>
      </c>
      <c r="C217" s="107">
        <v>2</v>
      </c>
      <c r="D217" s="107" t="s">
        <v>894</v>
      </c>
      <c r="E217" s="104">
        <v>34000000</v>
      </c>
      <c r="F217" s="105"/>
      <c r="G217" s="5"/>
      <c r="H217" s="5"/>
      <c r="I217" s="5"/>
      <c r="J217" s="5"/>
      <c r="K217" s="5"/>
      <c r="L217" s="5"/>
      <c r="M217" s="5"/>
      <c r="N217" s="5"/>
      <c r="O217" s="5"/>
      <c r="P217" s="5"/>
      <c r="Q217" s="5"/>
      <c r="R217" s="5"/>
      <c r="S217" s="5"/>
      <c r="T217" s="5"/>
      <c r="U217" s="5"/>
      <c r="V217" s="5"/>
      <c r="W217" s="5"/>
      <c r="X217" s="5"/>
      <c r="Y217" s="5"/>
      <c r="Z217" s="5"/>
    </row>
    <row r="218" spans="1:26" ht="12" customHeight="1" x14ac:dyDescent="0.6">
      <c r="A218" s="5"/>
      <c r="B218" s="106">
        <v>531110</v>
      </c>
      <c r="C218" s="107">
        <v>1</v>
      </c>
      <c r="D218" s="107" t="s">
        <v>855</v>
      </c>
      <c r="E218" s="104">
        <v>34000000</v>
      </c>
      <c r="F218" s="105"/>
      <c r="G218" s="5"/>
      <c r="H218" s="5"/>
      <c r="I218" s="5"/>
      <c r="J218" s="5"/>
      <c r="K218" s="5"/>
      <c r="L218" s="5"/>
      <c r="M218" s="5"/>
      <c r="N218" s="5"/>
      <c r="O218" s="5"/>
      <c r="P218" s="5"/>
      <c r="Q218" s="5"/>
      <c r="R218" s="5"/>
      <c r="S218" s="5"/>
      <c r="T218" s="5"/>
      <c r="U218" s="5"/>
      <c r="V218" s="5"/>
      <c r="W218" s="5"/>
      <c r="X218" s="5"/>
      <c r="Y218" s="5"/>
      <c r="Z218" s="5"/>
    </row>
    <row r="219" spans="1:26" ht="12" customHeight="1" x14ac:dyDescent="0.6">
      <c r="A219" s="5"/>
      <c r="B219" s="106">
        <v>531110</v>
      </c>
      <c r="C219" s="107">
        <v>2</v>
      </c>
      <c r="D219" s="107" t="s">
        <v>857</v>
      </c>
      <c r="E219" s="104">
        <v>47000000</v>
      </c>
      <c r="F219" s="105"/>
      <c r="G219" s="5"/>
      <c r="H219" s="5"/>
      <c r="I219" s="5"/>
      <c r="J219" s="5"/>
      <c r="K219" s="5"/>
      <c r="L219" s="5"/>
      <c r="M219" s="5"/>
      <c r="N219" s="5"/>
      <c r="O219" s="5"/>
      <c r="P219" s="5"/>
      <c r="Q219" s="5"/>
      <c r="R219" s="5"/>
      <c r="S219" s="5"/>
      <c r="T219" s="5"/>
      <c r="U219" s="5"/>
      <c r="V219" s="5"/>
      <c r="W219" s="5"/>
      <c r="X219" s="5"/>
      <c r="Y219" s="5"/>
      <c r="Z219" s="5"/>
    </row>
    <row r="220" spans="1:26" ht="12" customHeight="1" x14ac:dyDescent="0.6">
      <c r="A220" s="5"/>
      <c r="B220" s="106">
        <v>531120</v>
      </c>
      <c r="C220" s="107">
        <v>1</v>
      </c>
      <c r="D220" s="107" t="s">
        <v>858</v>
      </c>
      <c r="E220" s="104">
        <v>34000000</v>
      </c>
      <c r="F220" s="105"/>
      <c r="G220" s="5"/>
      <c r="H220" s="5"/>
      <c r="I220" s="5"/>
      <c r="J220" s="5"/>
      <c r="K220" s="5"/>
      <c r="L220" s="5"/>
      <c r="M220" s="5"/>
      <c r="N220" s="5"/>
      <c r="O220" s="5"/>
      <c r="P220" s="5"/>
      <c r="Q220" s="5"/>
      <c r="R220" s="5"/>
      <c r="S220" s="5"/>
      <c r="T220" s="5"/>
      <c r="U220" s="5"/>
      <c r="V220" s="5"/>
      <c r="W220" s="5"/>
      <c r="X220" s="5"/>
      <c r="Y220" s="5"/>
      <c r="Z220" s="5"/>
    </row>
    <row r="221" spans="1:26" ht="12" customHeight="1" x14ac:dyDescent="0.6">
      <c r="A221" s="5"/>
      <c r="B221" s="106">
        <v>531120</v>
      </c>
      <c r="C221" s="107">
        <v>2</v>
      </c>
      <c r="D221" s="107" t="s">
        <v>860</v>
      </c>
      <c r="E221" s="104">
        <v>47000000</v>
      </c>
      <c r="F221" s="105"/>
      <c r="G221" s="5"/>
      <c r="H221" s="5"/>
      <c r="I221" s="5"/>
      <c r="J221" s="5"/>
      <c r="K221" s="5"/>
      <c r="L221" s="5"/>
      <c r="M221" s="5"/>
      <c r="N221" s="5"/>
      <c r="O221" s="5"/>
      <c r="P221" s="5"/>
      <c r="Q221" s="5"/>
      <c r="R221" s="5"/>
      <c r="S221" s="5"/>
      <c r="T221" s="5"/>
      <c r="U221" s="5"/>
      <c r="V221" s="5"/>
      <c r="W221" s="5"/>
      <c r="X221" s="5"/>
      <c r="Y221" s="5"/>
      <c r="Z221" s="5"/>
    </row>
    <row r="222" spans="1:26" ht="12" customHeight="1" x14ac:dyDescent="0.6">
      <c r="A222" s="5"/>
      <c r="B222" s="106">
        <v>531130</v>
      </c>
      <c r="C222" s="107">
        <v>1</v>
      </c>
      <c r="D222" s="107" t="s">
        <v>862</v>
      </c>
      <c r="E222" s="104">
        <v>34000000</v>
      </c>
      <c r="F222" s="105"/>
      <c r="G222" s="5"/>
      <c r="H222" s="5"/>
      <c r="I222" s="5"/>
      <c r="J222" s="5"/>
      <c r="K222" s="5"/>
      <c r="L222" s="5"/>
      <c r="M222" s="5"/>
      <c r="N222" s="5"/>
      <c r="O222" s="5"/>
      <c r="P222" s="5"/>
      <c r="Q222" s="5"/>
      <c r="R222" s="5"/>
      <c r="S222" s="5"/>
      <c r="T222" s="5"/>
      <c r="U222" s="5"/>
      <c r="V222" s="5"/>
      <c r="W222" s="5"/>
      <c r="X222" s="5"/>
      <c r="Y222" s="5"/>
      <c r="Z222" s="5"/>
    </row>
    <row r="223" spans="1:26" ht="12" customHeight="1" x14ac:dyDescent="0.6">
      <c r="A223" s="5"/>
      <c r="B223" s="106">
        <v>531130</v>
      </c>
      <c r="C223" s="107">
        <v>2</v>
      </c>
      <c r="D223" s="107" t="s">
        <v>863</v>
      </c>
      <c r="E223" s="104">
        <v>47000000</v>
      </c>
      <c r="F223" s="105"/>
      <c r="G223" s="5"/>
      <c r="H223" s="5"/>
      <c r="I223" s="5"/>
      <c r="J223" s="5"/>
      <c r="K223" s="5"/>
      <c r="L223" s="5"/>
      <c r="M223" s="5"/>
      <c r="N223" s="5"/>
      <c r="O223" s="5"/>
      <c r="P223" s="5"/>
      <c r="Q223" s="5"/>
      <c r="R223" s="5"/>
      <c r="S223" s="5"/>
      <c r="T223" s="5"/>
      <c r="U223" s="5"/>
      <c r="V223" s="5"/>
      <c r="W223" s="5"/>
      <c r="X223" s="5"/>
      <c r="Y223" s="5"/>
      <c r="Z223" s="5"/>
    </row>
    <row r="224" spans="1:26" ht="12" customHeight="1" x14ac:dyDescent="0.6">
      <c r="A224" s="5"/>
      <c r="B224" s="121" t="s">
        <v>895</v>
      </c>
      <c r="C224" s="107">
        <v>1</v>
      </c>
      <c r="D224" s="107" t="s">
        <v>896</v>
      </c>
      <c r="E224" s="104">
        <v>34000000</v>
      </c>
      <c r="F224" s="105"/>
      <c r="G224" s="5"/>
      <c r="H224" s="5"/>
      <c r="I224" s="5"/>
      <c r="J224" s="5"/>
      <c r="K224" s="5"/>
      <c r="L224" s="5"/>
      <c r="M224" s="5"/>
      <c r="N224" s="5"/>
      <c r="O224" s="5"/>
      <c r="P224" s="5"/>
      <c r="Q224" s="5"/>
      <c r="R224" s="5"/>
      <c r="S224" s="5"/>
      <c r="T224" s="5"/>
      <c r="U224" s="5"/>
      <c r="V224" s="5"/>
      <c r="W224" s="5"/>
      <c r="X224" s="5"/>
      <c r="Y224" s="5"/>
      <c r="Z224" s="5"/>
    </row>
    <row r="225" spans="1:26" ht="12" customHeight="1" x14ac:dyDescent="0.6">
      <c r="A225" s="5"/>
      <c r="B225" s="121" t="s">
        <v>895</v>
      </c>
      <c r="C225" s="107">
        <v>2</v>
      </c>
      <c r="D225" s="107" t="s">
        <v>897</v>
      </c>
      <c r="E225" s="104">
        <v>47000000</v>
      </c>
      <c r="F225" s="105"/>
      <c r="G225" s="5"/>
      <c r="H225" s="5"/>
      <c r="I225" s="5"/>
      <c r="J225" s="5"/>
      <c r="K225" s="5"/>
      <c r="L225" s="5"/>
      <c r="M225" s="5"/>
      <c r="N225" s="5"/>
      <c r="O225" s="5"/>
      <c r="P225" s="5"/>
      <c r="Q225" s="5"/>
      <c r="R225" s="5"/>
      <c r="S225" s="5"/>
      <c r="T225" s="5"/>
      <c r="U225" s="5"/>
      <c r="V225" s="5"/>
      <c r="W225" s="5"/>
      <c r="X225" s="5"/>
      <c r="Y225" s="5"/>
      <c r="Z225" s="5"/>
    </row>
    <row r="226" spans="1:26" ht="12" customHeight="1" x14ac:dyDescent="0.6">
      <c r="A226" s="5"/>
      <c r="B226" s="121">
        <v>541330</v>
      </c>
      <c r="C226" s="107">
        <v>1</v>
      </c>
      <c r="D226" s="107" t="s">
        <v>898</v>
      </c>
      <c r="E226" s="104">
        <v>25500000</v>
      </c>
      <c r="F226" s="105"/>
      <c r="G226" s="5"/>
      <c r="H226" s="5"/>
      <c r="I226" s="5"/>
      <c r="J226" s="5"/>
      <c r="K226" s="5"/>
      <c r="L226" s="5"/>
      <c r="M226" s="5"/>
      <c r="N226" s="5"/>
      <c r="O226" s="5"/>
      <c r="P226" s="5"/>
      <c r="Q226" s="5"/>
      <c r="R226" s="5"/>
      <c r="S226" s="5"/>
      <c r="T226" s="5"/>
      <c r="U226" s="5"/>
      <c r="V226" s="5"/>
      <c r="W226" s="5"/>
      <c r="X226" s="5"/>
      <c r="Y226" s="5"/>
      <c r="Z226" s="5"/>
    </row>
    <row r="227" spans="1:26" ht="12" customHeight="1" x14ac:dyDescent="0.6">
      <c r="A227" s="5"/>
      <c r="B227" s="121" t="s">
        <v>866</v>
      </c>
      <c r="C227" s="107">
        <v>2</v>
      </c>
      <c r="D227" s="107" t="s">
        <v>899</v>
      </c>
      <c r="E227" s="104">
        <v>47000000</v>
      </c>
      <c r="F227" s="105"/>
      <c r="G227" s="5"/>
      <c r="H227" s="5"/>
      <c r="I227" s="5"/>
      <c r="J227" s="5"/>
      <c r="K227" s="5"/>
      <c r="L227" s="5"/>
      <c r="M227" s="5"/>
      <c r="N227" s="5"/>
      <c r="O227" s="5"/>
      <c r="P227" s="5"/>
      <c r="Q227" s="5"/>
      <c r="R227" s="5"/>
      <c r="S227" s="5"/>
      <c r="T227" s="5"/>
      <c r="U227" s="5"/>
      <c r="V227" s="5"/>
      <c r="W227" s="5"/>
      <c r="X227" s="5"/>
      <c r="Y227" s="5"/>
      <c r="Z227" s="5"/>
    </row>
    <row r="228" spans="1:26" ht="12" customHeight="1" x14ac:dyDescent="0.6">
      <c r="A228" s="5"/>
      <c r="B228" s="121" t="s">
        <v>866</v>
      </c>
      <c r="C228" s="107">
        <v>3</v>
      </c>
      <c r="D228" s="107" t="s">
        <v>900</v>
      </c>
      <c r="E228" s="104">
        <v>47000000</v>
      </c>
      <c r="F228" s="105"/>
      <c r="G228" s="5"/>
      <c r="H228" s="5"/>
      <c r="I228" s="5"/>
      <c r="J228" s="5"/>
      <c r="K228" s="5"/>
      <c r="L228" s="5"/>
      <c r="M228" s="5"/>
      <c r="N228" s="5"/>
      <c r="O228" s="5"/>
      <c r="P228" s="5"/>
      <c r="Q228" s="5"/>
      <c r="R228" s="5"/>
      <c r="S228" s="5"/>
      <c r="T228" s="5"/>
      <c r="U228" s="5"/>
      <c r="V228" s="5"/>
      <c r="W228" s="5"/>
      <c r="X228" s="5"/>
      <c r="Y228" s="5"/>
      <c r="Z228" s="5"/>
    </row>
    <row r="229" spans="1:26" ht="12" customHeight="1" x14ac:dyDescent="0.6">
      <c r="A229" s="5"/>
      <c r="B229" s="121" t="s">
        <v>866</v>
      </c>
      <c r="C229" s="107">
        <v>4</v>
      </c>
      <c r="D229" s="107" t="s">
        <v>901</v>
      </c>
      <c r="E229" s="104">
        <v>47000000</v>
      </c>
      <c r="F229" s="105"/>
      <c r="G229" s="5"/>
      <c r="H229" s="5"/>
      <c r="I229" s="5"/>
      <c r="J229" s="5"/>
      <c r="K229" s="5"/>
      <c r="L229" s="5"/>
      <c r="M229" s="5"/>
      <c r="N229" s="5"/>
      <c r="O229" s="5"/>
      <c r="P229" s="5"/>
      <c r="Q229" s="5"/>
      <c r="R229" s="5"/>
      <c r="S229" s="5"/>
      <c r="T229" s="5"/>
      <c r="U229" s="5"/>
      <c r="V229" s="5"/>
      <c r="W229" s="5"/>
      <c r="X229" s="5"/>
      <c r="Y229" s="5"/>
      <c r="Z229" s="5"/>
    </row>
    <row r="230" spans="1:26" ht="12" customHeight="1" x14ac:dyDescent="0.6">
      <c r="A230" s="5" t="s">
        <v>902</v>
      </c>
      <c r="B230" s="121" t="s">
        <v>871</v>
      </c>
      <c r="C230" s="107">
        <v>1</v>
      </c>
      <c r="D230" s="107" t="s">
        <v>903</v>
      </c>
      <c r="E230" s="104">
        <v>34000000</v>
      </c>
      <c r="F230" s="105"/>
      <c r="G230" s="5"/>
      <c r="H230" s="5"/>
      <c r="I230" s="5"/>
      <c r="J230" s="5"/>
      <c r="K230" s="5"/>
      <c r="L230" s="5"/>
      <c r="M230" s="5"/>
      <c r="N230" s="5"/>
      <c r="O230" s="5"/>
      <c r="P230" s="5"/>
      <c r="Q230" s="5"/>
      <c r="R230" s="5"/>
      <c r="S230" s="5"/>
      <c r="T230" s="5"/>
      <c r="U230" s="5"/>
      <c r="V230" s="5"/>
      <c r="W230" s="5"/>
      <c r="X230" s="5"/>
      <c r="Y230" s="5"/>
      <c r="Z230" s="5"/>
    </row>
    <row r="231" spans="1:26" ht="12" customHeight="1" x14ac:dyDescent="0.55000000000000004">
      <c r="A231" s="5"/>
      <c r="B231" s="121" t="s">
        <v>871</v>
      </c>
      <c r="C231" s="107">
        <v>2</v>
      </c>
      <c r="D231" s="107" t="s">
        <v>904</v>
      </c>
      <c r="E231" s="110" t="s">
        <v>905</v>
      </c>
      <c r="F231" s="105">
        <v>150</v>
      </c>
      <c r="G231" s="5"/>
      <c r="H231" s="5"/>
      <c r="I231" s="5"/>
      <c r="J231" s="5"/>
      <c r="K231" s="5"/>
      <c r="L231" s="5"/>
      <c r="M231" s="5"/>
      <c r="N231" s="5"/>
      <c r="O231" s="5"/>
      <c r="P231" s="5"/>
      <c r="Q231" s="5"/>
      <c r="R231" s="5"/>
      <c r="S231" s="5"/>
      <c r="T231" s="5"/>
      <c r="U231" s="5"/>
      <c r="V231" s="5"/>
      <c r="W231" s="5"/>
      <c r="X231" s="5"/>
      <c r="Y231" s="5"/>
      <c r="Z231" s="5"/>
    </row>
    <row r="232" spans="1:26" ht="12" customHeight="1" x14ac:dyDescent="0.55000000000000004">
      <c r="A232" s="5"/>
      <c r="B232" s="106" t="s">
        <v>874</v>
      </c>
      <c r="C232" s="107">
        <v>1</v>
      </c>
      <c r="D232" s="107" t="s">
        <v>906</v>
      </c>
      <c r="E232" s="110" t="s">
        <v>905</v>
      </c>
      <c r="F232" s="105">
        <v>1000</v>
      </c>
      <c r="G232" s="5"/>
      <c r="H232" s="5"/>
      <c r="I232" s="5"/>
      <c r="J232" s="5"/>
      <c r="K232" s="5"/>
      <c r="L232" s="5"/>
      <c r="M232" s="5"/>
      <c r="N232" s="5"/>
      <c r="O232" s="5"/>
      <c r="P232" s="5"/>
      <c r="Q232" s="5"/>
      <c r="R232" s="5"/>
      <c r="S232" s="5"/>
      <c r="T232" s="5"/>
      <c r="U232" s="5"/>
      <c r="V232" s="5"/>
      <c r="W232" s="5"/>
      <c r="X232" s="5"/>
      <c r="Y232" s="5"/>
      <c r="Z232" s="5"/>
    </row>
    <row r="233" spans="1:26" ht="12" customHeight="1" x14ac:dyDescent="0.55000000000000004">
      <c r="A233" s="5"/>
      <c r="B233" s="106" t="s">
        <v>874</v>
      </c>
      <c r="C233" s="107">
        <v>2</v>
      </c>
      <c r="D233" s="107" t="s">
        <v>907</v>
      </c>
      <c r="E233" s="110" t="s">
        <v>905</v>
      </c>
      <c r="F233" s="105">
        <v>1500</v>
      </c>
      <c r="G233" s="5"/>
      <c r="H233" s="5"/>
      <c r="I233" s="5"/>
      <c r="J233" s="5"/>
      <c r="K233" s="5"/>
      <c r="L233" s="5"/>
      <c r="M233" s="5"/>
      <c r="N233" s="5"/>
      <c r="O233" s="5"/>
      <c r="P233" s="5"/>
      <c r="Q233" s="5"/>
      <c r="R233" s="5"/>
      <c r="S233" s="5"/>
      <c r="T233" s="5"/>
      <c r="U233" s="5"/>
      <c r="V233" s="5"/>
      <c r="W233" s="5"/>
      <c r="X233" s="5"/>
      <c r="Y233" s="5"/>
      <c r="Z233" s="5"/>
    </row>
    <row r="234" spans="1:26" ht="12" customHeight="1" x14ac:dyDescent="0.55000000000000004">
      <c r="A234" s="5"/>
      <c r="B234" s="106" t="s">
        <v>874</v>
      </c>
      <c r="C234" s="107">
        <v>3</v>
      </c>
      <c r="D234" s="107" t="s">
        <v>908</v>
      </c>
      <c r="E234" s="110" t="s">
        <v>905</v>
      </c>
      <c r="F234" s="105">
        <v>1250</v>
      </c>
      <c r="G234" s="5"/>
      <c r="H234" s="5"/>
      <c r="I234" s="5"/>
      <c r="J234" s="5"/>
      <c r="K234" s="5"/>
      <c r="L234" s="5"/>
      <c r="M234" s="5"/>
      <c r="N234" s="5"/>
      <c r="O234" s="5"/>
      <c r="P234" s="5"/>
      <c r="Q234" s="5"/>
      <c r="R234" s="5"/>
      <c r="S234" s="5"/>
      <c r="T234" s="5"/>
      <c r="U234" s="5"/>
      <c r="V234" s="5"/>
      <c r="W234" s="5"/>
      <c r="X234" s="5"/>
      <c r="Y234" s="5"/>
      <c r="Z234" s="5"/>
    </row>
    <row r="235" spans="1:26" ht="12" customHeight="1" x14ac:dyDescent="0.55000000000000004">
      <c r="A235" s="5"/>
      <c r="B235" s="106" t="s">
        <v>874</v>
      </c>
      <c r="C235" s="107">
        <v>4</v>
      </c>
      <c r="D235" s="107" t="s">
        <v>909</v>
      </c>
      <c r="E235" s="110" t="s">
        <v>905</v>
      </c>
      <c r="F235" s="111">
        <v>1250</v>
      </c>
      <c r="G235" s="5"/>
      <c r="H235" s="5"/>
      <c r="I235" s="5"/>
      <c r="J235" s="5"/>
      <c r="K235" s="5"/>
      <c r="L235" s="5"/>
      <c r="M235" s="5"/>
      <c r="N235" s="5"/>
      <c r="O235" s="5"/>
      <c r="P235" s="5"/>
      <c r="Q235" s="5"/>
      <c r="R235" s="5"/>
      <c r="S235" s="5"/>
      <c r="T235" s="5"/>
      <c r="U235" s="5"/>
      <c r="V235" s="5"/>
      <c r="W235" s="5"/>
      <c r="X235" s="5"/>
      <c r="Y235" s="5"/>
      <c r="Z235" s="5"/>
    </row>
    <row r="236" spans="1:26" ht="12" customHeight="1" x14ac:dyDescent="0.6">
      <c r="A236" s="5"/>
      <c r="B236" s="121" t="s">
        <v>879</v>
      </c>
      <c r="C236" s="107">
        <v>1</v>
      </c>
      <c r="D236" s="107" t="s">
        <v>910</v>
      </c>
      <c r="E236" s="104">
        <v>25000000</v>
      </c>
      <c r="F236" s="112"/>
      <c r="G236" s="5"/>
      <c r="H236" s="5"/>
      <c r="I236" s="5"/>
      <c r="J236" s="5"/>
      <c r="K236" s="5"/>
      <c r="L236" s="5"/>
      <c r="M236" s="5"/>
      <c r="N236" s="5"/>
      <c r="O236" s="5"/>
      <c r="P236" s="5"/>
      <c r="Q236" s="5"/>
      <c r="R236" s="5"/>
      <c r="S236" s="5"/>
      <c r="T236" s="5"/>
      <c r="U236" s="5"/>
      <c r="V236" s="5"/>
      <c r="W236" s="5"/>
      <c r="X236" s="5"/>
      <c r="Y236" s="5"/>
      <c r="Z236" s="5"/>
    </row>
    <row r="237" spans="1:26" ht="12" customHeight="1" x14ac:dyDescent="0.6">
      <c r="A237" s="5"/>
      <c r="B237" s="121" t="s">
        <v>879</v>
      </c>
      <c r="C237" s="107">
        <v>2</v>
      </c>
      <c r="D237" s="107" t="s">
        <v>911</v>
      </c>
      <c r="E237" s="104"/>
      <c r="F237" s="113">
        <v>750</v>
      </c>
      <c r="G237" s="5"/>
      <c r="H237" s="5"/>
      <c r="I237" s="5"/>
      <c r="J237" s="5"/>
      <c r="K237" s="5"/>
      <c r="L237" s="5"/>
      <c r="M237" s="5"/>
      <c r="N237" s="5"/>
      <c r="O237" s="5"/>
      <c r="P237" s="5"/>
      <c r="Q237" s="5"/>
      <c r="R237" s="5"/>
      <c r="S237" s="5"/>
      <c r="T237" s="5"/>
      <c r="U237" s="5"/>
      <c r="V237" s="5"/>
      <c r="W237" s="5"/>
      <c r="X237" s="5"/>
      <c r="Y237" s="5"/>
      <c r="Z237" s="5"/>
    </row>
    <row r="238" spans="1:26" ht="12" customHeight="1" x14ac:dyDescent="0.6">
      <c r="A238" s="5"/>
      <c r="B238" s="121" t="s">
        <v>882</v>
      </c>
      <c r="C238" s="107">
        <v>1</v>
      </c>
      <c r="D238" s="107" t="s">
        <v>912</v>
      </c>
      <c r="E238" s="104">
        <v>21000000</v>
      </c>
      <c r="F238" s="105"/>
      <c r="G238" s="5"/>
      <c r="H238" s="5"/>
      <c r="I238" s="5"/>
      <c r="J238" s="5"/>
      <c r="K238" s="5"/>
      <c r="L238" s="5"/>
      <c r="M238" s="5"/>
      <c r="N238" s="5"/>
      <c r="O238" s="5"/>
      <c r="P238" s="5"/>
      <c r="Q238" s="5"/>
      <c r="R238" s="5"/>
      <c r="S238" s="5"/>
      <c r="T238" s="5"/>
      <c r="U238" s="5"/>
      <c r="V238" s="5"/>
      <c r="W238" s="5"/>
      <c r="X238" s="5"/>
      <c r="Y238" s="5"/>
      <c r="Z238" s="5"/>
    </row>
    <row r="239" spans="1:26" ht="12" customHeight="1" x14ac:dyDescent="0.6">
      <c r="A239" s="5"/>
      <c r="B239" s="122" t="s">
        <v>882</v>
      </c>
      <c r="C239" s="115">
        <v>2</v>
      </c>
      <c r="D239" s="115" t="s">
        <v>913</v>
      </c>
      <c r="E239" s="104">
        <v>47000000</v>
      </c>
      <c r="F239" s="105"/>
      <c r="G239" s="5"/>
      <c r="H239" s="5"/>
      <c r="I239" s="5"/>
      <c r="J239" s="5"/>
      <c r="K239" s="5"/>
      <c r="L239" s="5"/>
      <c r="M239" s="5"/>
      <c r="N239" s="5"/>
      <c r="O239" s="5"/>
      <c r="P239" s="5"/>
      <c r="Q239" s="5"/>
      <c r="R239" s="5"/>
      <c r="S239" s="5"/>
      <c r="T239" s="5"/>
      <c r="U239" s="5"/>
      <c r="V239" s="5"/>
      <c r="W239" s="5"/>
      <c r="X239" s="5"/>
      <c r="Y239" s="5"/>
      <c r="Z239" s="5"/>
    </row>
    <row r="240" spans="1:26" ht="12" customHeight="1" x14ac:dyDescent="0.55000000000000004">
      <c r="A240" s="5"/>
      <c r="B240" s="5"/>
      <c r="C240" s="5"/>
      <c r="D240" s="108"/>
      <c r="E240" s="5"/>
      <c r="F240" s="5"/>
      <c r="G240" s="5"/>
      <c r="H240" s="5"/>
      <c r="I240" s="5"/>
      <c r="J240" s="5"/>
      <c r="K240" s="5"/>
      <c r="L240" s="5"/>
      <c r="M240" s="5"/>
      <c r="N240" s="5"/>
      <c r="O240" s="5"/>
      <c r="P240" s="5"/>
      <c r="Q240" s="5"/>
      <c r="R240" s="5"/>
      <c r="S240" s="5"/>
      <c r="T240" s="5"/>
      <c r="U240" s="5"/>
      <c r="V240" s="5"/>
      <c r="W240" s="5"/>
      <c r="X240" s="5"/>
      <c r="Y240" s="5"/>
      <c r="Z240" s="5"/>
    </row>
    <row r="241" spans="1:26" ht="12" customHeight="1" x14ac:dyDescent="0.55000000000000004">
      <c r="A241" s="5"/>
      <c r="B241" s="5"/>
      <c r="C241" s="5"/>
      <c r="D241" s="108"/>
      <c r="E241" s="5"/>
      <c r="F241" s="5"/>
      <c r="G241" s="5"/>
      <c r="H241" s="5"/>
      <c r="I241" s="5"/>
      <c r="J241" s="5"/>
      <c r="K241" s="5"/>
      <c r="L241" s="5"/>
      <c r="M241" s="5"/>
      <c r="N241" s="5"/>
      <c r="O241" s="5"/>
      <c r="P241" s="5"/>
      <c r="Q241" s="5"/>
      <c r="R241" s="5"/>
      <c r="S241" s="5"/>
      <c r="T241" s="5"/>
      <c r="U241" s="5"/>
      <c r="V241" s="5"/>
      <c r="W241" s="5"/>
      <c r="X241" s="5"/>
      <c r="Y241" s="5"/>
      <c r="Z241" s="5"/>
    </row>
    <row r="242" spans="1:26" ht="12" customHeight="1" x14ac:dyDescent="0.55000000000000004">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33.75" customHeight="1" x14ac:dyDescent="1">
      <c r="A243" s="5"/>
      <c r="B243" s="65" t="s">
        <v>914</v>
      </c>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 customHeight="1" x14ac:dyDescent="0.5500000000000000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 customHeight="1" x14ac:dyDescent="0.55000000000000004">
      <c r="A245" s="5"/>
      <c r="B245" s="76" t="s">
        <v>659</v>
      </c>
      <c r="C245" s="77" t="s">
        <v>660</v>
      </c>
      <c r="D245" s="5"/>
      <c r="E245" s="5" t="s">
        <v>915</v>
      </c>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55000000000000004">
      <c r="A246" s="5"/>
      <c r="B246" s="37" t="s">
        <v>916</v>
      </c>
      <c r="C246" s="123" t="s">
        <v>917</v>
      </c>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55000000000000004">
      <c r="A247" s="5"/>
      <c r="B247" s="37" t="s">
        <v>918</v>
      </c>
      <c r="C247" s="123" t="s">
        <v>919</v>
      </c>
      <c r="D247" s="5"/>
      <c r="E247" s="5" t="s">
        <v>920</v>
      </c>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55000000000000004">
      <c r="A248" s="5"/>
      <c r="B248" s="124" t="s">
        <v>921</v>
      </c>
      <c r="C248" s="125" t="s">
        <v>922</v>
      </c>
      <c r="D248" s="5"/>
      <c r="E248" s="5" t="s">
        <v>923</v>
      </c>
      <c r="F248" s="5"/>
      <c r="G248" s="5"/>
      <c r="H248" s="5"/>
      <c r="I248" s="5"/>
      <c r="J248" s="5"/>
      <c r="K248" s="5"/>
      <c r="L248" s="5"/>
      <c r="M248" s="5"/>
      <c r="N248" s="5"/>
      <c r="O248" s="5"/>
      <c r="P248" s="5"/>
      <c r="Q248" s="5"/>
      <c r="R248" s="5"/>
      <c r="S248" s="5"/>
      <c r="T248" s="5"/>
      <c r="U248" s="5"/>
      <c r="V248" s="5"/>
      <c r="W248" s="5"/>
      <c r="X248" s="5"/>
      <c r="Y248" s="5"/>
      <c r="Z248" s="5"/>
    </row>
    <row r="249" spans="1:26" ht="37.200000000000003" customHeight="1" x14ac:dyDescent="0.55000000000000004">
      <c r="A249" s="5"/>
      <c r="B249" s="126" t="s">
        <v>924</v>
      </c>
      <c r="C249" s="127" t="s">
        <v>925</v>
      </c>
      <c r="D249" s="5"/>
      <c r="E249" s="5"/>
      <c r="F249" s="5"/>
      <c r="G249" s="5"/>
      <c r="H249" s="5"/>
      <c r="I249" s="5"/>
      <c r="J249" s="5"/>
      <c r="K249" s="5"/>
      <c r="L249" s="5"/>
      <c r="M249" s="5"/>
      <c r="N249" s="5"/>
      <c r="O249" s="5"/>
      <c r="P249" s="5"/>
      <c r="Q249" s="5"/>
      <c r="R249" s="5"/>
      <c r="S249" s="5"/>
      <c r="T249" s="5"/>
      <c r="U249" s="5"/>
      <c r="V249" s="5"/>
      <c r="W249" s="5"/>
      <c r="X249" s="5"/>
      <c r="Y249" s="5"/>
      <c r="Z249" s="5"/>
    </row>
    <row r="250" spans="1:26" ht="31.8" customHeight="1" x14ac:dyDescent="0.55000000000000004">
      <c r="A250" s="5"/>
      <c r="B250" s="128" t="s">
        <v>926</v>
      </c>
      <c r="C250" s="127" t="s">
        <v>927</v>
      </c>
      <c r="D250" s="5"/>
      <c r="E250" s="5" t="s">
        <v>605</v>
      </c>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55000000000000004">
      <c r="A251" s="5"/>
      <c r="B251" s="128" t="s">
        <v>928</v>
      </c>
      <c r="C251" s="128" t="s">
        <v>929</v>
      </c>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 customHeight="1" x14ac:dyDescent="0.55000000000000004">
      <c r="A252" s="5"/>
      <c r="B252" s="5"/>
      <c r="C252" s="5"/>
      <c r="D252" s="5"/>
      <c r="E252" s="5" t="s">
        <v>930</v>
      </c>
      <c r="F252" s="5"/>
      <c r="G252" s="5"/>
      <c r="H252" s="5"/>
      <c r="I252" s="5"/>
      <c r="J252" s="5"/>
      <c r="K252" s="5"/>
      <c r="L252" s="5"/>
      <c r="M252" s="5"/>
      <c r="N252" s="5"/>
      <c r="O252" s="5"/>
      <c r="P252" s="5"/>
      <c r="Q252" s="5"/>
      <c r="R252" s="5"/>
      <c r="S252" s="5"/>
      <c r="T252" s="5"/>
      <c r="U252" s="5"/>
      <c r="V252" s="5"/>
      <c r="W252" s="5"/>
      <c r="X252" s="5"/>
      <c r="Y252" s="5"/>
      <c r="Z252" s="5"/>
    </row>
    <row r="253" spans="1:26" ht="12" customHeight="1" x14ac:dyDescent="0.55000000000000004">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 customHeight="1" x14ac:dyDescent="0.55000000000000004">
      <c r="A254" s="5"/>
      <c r="B254" s="5"/>
      <c r="C254" s="5"/>
      <c r="D254" s="5"/>
      <c r="E254" s="5" t="s">
        <v>931</v>
      </c>
      <c r="F254" s="5"/>
      <c r="G254" s="5"/>
      <c r="H254" s="5"/>
      <c r="I254" s="5"/>
      <c r="J254" s="5"/>
      <c r="K254" s="5"/>
      <c r="L254" s="5"/>
      <c r="M254" s="5"/>
      <c r="N254" s="5"/>
      <c r="O254" s="5"/>
      <c r="P254" s="5"/>
      <c r="Q254" s="5"/>
      <c r="R254" s="5"/>
      <c r="S254" s="5"/>
      <c r="T254" s="5"/>
      <c r="U254" s="5"/>
      <c r="V254" s="5"/>
      <c r="W254" s="5"/>
      <c r="X254" s="5"/>
      <c r="Y254" s="5"/>
      <c r="Z254" s="5"/>
    </row>
    <row r="255" spans="1:26" ht="12" customHeight="1" x14ac:dyDescent="0.55000000000000004">
      <c r="A255" s="5"/>
      <c r="B255" s="5"/>
      <c r="C255" s="5"/>
      <c r="D255" s="5"/>
      <c r="E255" s="5" t="s">
        <v>932</v>
      </c>
      <c r="F255" s="5"/>
      <c r="G255" s="5"/>
      <c r="H255" s="5"/>
      <c r="I255" s="5"/>
      <c r="J255" s="5"/>
      <c r="K255" s="5"/>
      <c r="L255" s="5"/>
      <c r="M255" s="5"/>
      <c r="N255" s="5"/>
      <c r="O255" s="5"/>
      <c r="P255" s="5"/>
      <c r="Q255" s="5"/>
      <c r="R255" s="5"/>
      <c r="S255" s="5"/>
      <c r="T255" s="5"/>
      <c r="U255" s="5"/>
      <c r="V255" s="5"/>
      <c r="W255" s="5"/>
      <c r="X255" s="5"/>
      <c r="Y255" s="5"/>
      <c r="Z255" s="5"/>
    </row>
    <row r="256" spans="1:26" ht="12" customHeight="1" x14ac:dyDescent="0.55000000000000004">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 customHeight="1" x14ac:dyDescent="0.55000000000000004">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 customHeight="1" x14ac:dyDescent="0.55000000000000004">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 customHeight="1" x14ac:dyDescent="0.55000000000000004">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 customHeight="1" x14ac:dyDescent="0.55000000000000004">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 customHeight="1" x14ac:dyDescent="0.55000000000000004">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 customHeight="1" x14ac:dyDescent="0.55000000000000004">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 customHeight="1" x14ac:dyDescent="0.55000000000000004">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 customHeight="1" x14ac:dyDescent="0.5500000000000000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 customHeight="1" x14ac:dyDescent="0.55000000000000004">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 customHeight="1" x14ac:dyDescent="0.55000000000000004">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 customHeight="1" x14ac:dyDescent="0.55000000000000004">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 customHeight="1" x14ac:dyDescent="0.55000000000000004">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 customHeight="1" x14ac:dyDescent="0.55000000000000004">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 customHeight="1" x14ac:dyDescent="0.55000000000000004">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 customHeight="1" x14ac:dyDescent="0.55000000000000004">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 customHeight="1" x14ac:dyDescent="0.55000000000000004">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 customHeight="1" x14ac:dyDescent="0.55000000000000004">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 customHeight="1" x14ac:dyDescent="0.5500000000000000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 customHeight="1" x14ac:dyDescent="0.55000000000000004">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 customHeight="1" x14ac:dyDescent="0.55000000000000004">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 customHeight="1" x14ac:dyDescent="0.55000000000000004">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 customHeight="1" x14ac:dyDescent="0.55000000000000004">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 customHeight="1" x14ac:dyDescent="0.55000000000000004">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 customHeight="1" x14ac:dyDescent="0.55000000000000004">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 customHeight="1" x14ac:dyDescent="0.55000000000000004">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 customHeight="1" x14ac:dyDescent="0.55000000000000004">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 customHeight="1" x14ac:dyDescent="0.55000000000000004">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 customHeight="1" x14ac:dyDescent="0.5500000000000000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 customHeight="1" x14ac:dyDescent="0.55000000000000004">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 customHeight="1" x14ac:dyDescent="0.55000000000000004">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 customHeight="1" x14ac:dyDescent="0.55000000000000004">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 customHeight="1" x14ac:dyDescent="0.55000000000000004">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 customHeight="1" x14ac:dyDescent="0.55000000000000004">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 customHeight="1" x14ac:dyDescent="0.55000000000000004">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 customHeight="1" x14ac:dyDescent="0.55000000000000004">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 customHeight="1" x14ac:dyDescent="0.55000000000000004">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 customHeight="1" x14ac:dyDescent="0.55000000000000004">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 customHeight="1" x14ac:dyDescent="0.5500000000000000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 customHeight="1" x14ac:dyDescent="0.55000000000000004">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 customHeight="1" x14ac:dyDescent="0.55000000000000004">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 customHeight="1" x14ac:dyDescent="0.55000000000000004">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 customHeight="1" x14ac:dyDescent="0.55000000000000004">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 customHeight="1" x14ac:dyDescent="0.55000000000000004">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 customHeight="1" x14ac:dyDescent="0.55000000000000004">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 customHeight="1" x14ac:dyDescent="0.55000000000000004">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 customHeight="1" x14ac:dyDescent="0.55000000000000004">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 customHeight="1" x14ac:dyDescent="0.55000000000000004">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 customHeight="1" x14ac:dyDescent="0.550000000000000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 customHeight="1" x14ac:dyDescent="0.55000000000000004">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 customHeight="1" x14ac:dyDescent="0.55000000000000004">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 customHeight="1" x14ac:dyDescent="0.55000000000000004">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 customHeight="1" x14ac:dyDescent="0.55000000000000004">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 customHeight="1" x14ac:dyDescent="0.55000000000000004">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 customHeight="1" x14ac:dyDescent="0.55000000000000004">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 customHeight="1" x14ac:dyDescent="0.55000000000000004">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 customHeight="1" x14ac:dyDescent="0.55000000000000004">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 customHeight="1" x14ac:dyDescent="0.55000000000000004">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 customHeight="1" x14ac:dyDescent="0.5500000000000000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 customHeight="1" x14ac:dyDescent="0.55000000000000004">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 customHeight="1" x14ac:dyDescent="0.55000000000000004">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 customHeight="1" x14ac:dyDescent="0.55000000000000004">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 customHeight="1" x14ac:dyDescent="0.55000000000000004">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 customHeight="1" x14ac:dyDescent="0.55000000000000004">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 customHeight="1" x14ac:dyDescent="0.55000000000000004">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 customHeight="1" x14ac:dyDescent="0.55000000000000004">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 customHeight="1" x14ac:dyDescent="0.55000000000000004">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 customHeight="1" x14ac:dyDescent="0.55000000000000004">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 customHeight="1" x14ac:dyDescent="0.5500000000000000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 customHeight="1" x14ac:dyDescent="0.55000000000000004">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 customHeight="1" x14ac:dyDescent="0.55000000000000004">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 customHeight="1" x14ac:dyDescent="0.55000000000000004">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 customHeight="1" x14ac:dyDescent="0.55000000000000004">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 customHeight="1" x14ac:dyDescent="0.55000000000000004">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 customHeight="1" x14ac:dyDescent="0.55000000000000004">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 customHeight="1" x14ac:dyDescent="0.55000000000000004">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 customHeight="1" x14ac:dyDescent="0.55000000000000004">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 customHeight="1" x14ac:dyDescent="0.55000000000000004">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 customHeight="1" x14ac:dyDescent="0.5500000000000000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 customHeight="1" x14ac:dyDescent="0.55000000000000004">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 customHeight="1" x14ac:dyDescent="0.55000000000000004">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 customHeight="1" x14ac:dyDescent="0.55000000000000004">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 customHeight="1" x14ac:dyDescent="0.55000000000000004">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 customHeight="1" x14ac:dyDescent="0.55000000000000004">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 customHeight="1" x14ac:dyDescent="0.55000000000000004">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 customHeight="1" x14ac:dyDescent="0.55000000000000004">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 customHeight="1" x14ac:dyDescent="0.55000000000000004">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 customHeight="1" x14ac:dyDescent="0.55000000000000004">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 customHeight="1" x14ac:dyDescent="0.5500000000000000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 customHeight="1" x14ac:dyDescent="0.55000000000000004">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 customHeight="1" x14ac:dyDescent="0.55000000000000004">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 customHeight="1" x14ac:dyDescent="0.55000000000000004">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 customHeight="1" x14ac:dyDescent="0.55000000000000004">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 customHeight="1" x14ac:dyDescent="0.55000000000000004">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 customHeight="1" x14ac:dyDescent="0.55000000000000004">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 customHeight="1" x14ac:dyDescent="0.55000000000000004">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 customHeight="1" x14ac:dyDescent="0.55000000000000004">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 customHeight="1" x14ac:dyDescent="0.55000000000000004">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 customHeight="1" x14ac:dyDescent="0.5500000000000000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 customHeight="1" x14ac:dyDescent="0.55000000000000004">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 customHeight="1" x14ac:dyDescent="0.55000000000000004">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 customHeight="1" x14ac:dyDescent="0.55000000000000004">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 customHeight="1" x14ac:dyDescent="0.55000000000000004">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 customHeight="1" x14ac:dyDescent="0.55000000000000004">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 customHeight="1" x14ac:dyDescent="0.55000000000000004">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 customHeight="1" x14ac:dyDescent="0.55000000000000004">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 customHeight="1" x14ac:dyDescent="0.55000000000000004">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 customHeight="1" x14ac:dyDescent="0.55000000000000004">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 customHeight="1" x14ac:dyDescent="0.5500000000000000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 customHeight="1" x14ac:dyDescent="0.55000000000000004">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 customHeight="1" x14ac:dyDescent="0.55000000000000004">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 customHeight="1" x14ac:dyDescent="0.55000000000000004">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 customHeight="1" x14ac:dyDescent="0.55000000000000004">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 customHeight="1" x14ac:dyDescent="0.55000000000000004">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 customHeight="1" x14ac:dyDescent="0.55000000000000004">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 customHeight="1" x14ac:dyDescent="0.55000000000000004">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 customHeight="1" x14ac:dyDescent="0.55000000000000004">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 customHeight="1" x14ac:dyDescent="0.55000000000000004">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 customHeight="1" x14ac:dyDescent="0.5500000000000000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 customHeight="1" x14ac:dyDescent="0.55000000000000004">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 customHeight="1" x14ac:dyDescent="0.55000000000000004">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 customHeight="1" x14ac:dyDescent="0.55000000000000004">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 customHeight="1" x14ac:dyDescent="0.55000000000000004">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 customHeight="1" x14ac:dyDescent="0.55000000000000004">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 customHeight="1" x14ac:dyDescent="0.55000000000000004">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 customHeight="1" x14ac:dyDescent="0.55000000000000004">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 customHeight="1" x14ac:dyDescent="0.55000000000000004">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 customHeight="1" x14ac:dyDescent="0.55000000000000004">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 customHeight="1" x14ac:dyDescent="0.5500000000000000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 customHeight="1" x14ac:dyDescent="0.55000000000000004">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 customHeight="1" x14ac:dyDescent="0.55000000000000004">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 customHeight="1" x14ac:dyDescent="0.55000000000000004">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 customHeight="1" x14ac:dyDescent="0.55000000000000004">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 customHeight="1" x14ac:dyDescent="0.55000000000000004">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 customHeight="1" x14ac:dyDescent="0.55000000000000004">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 customHeight="1" x14ac:dyDescent="0.55000000000000004">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 customHeight="1" x14ac:dyDescent="0.55000000000000004">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 customHeight="1" x14ac:dyDescent="0.55000000000000004">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 customHeight="1" x14ac:dyDescent="0.5500000000000000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 customHeight="1" x14ac:dyDescent="0.55000000000000004">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 customHeight="1" x14ac:dyDescent="0.55000000000000004">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 customHeight="1" x14ac:dyDescent="0.55000000000000004">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 customHeight="1" x14ac:dyDescent="0.55000000000000004">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 customHeight="1" x14ac:dyDescent="0.55000000000000004">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 customHeight="1" x14ac:dyDescent="0.55000000000000004">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 customHeight="1" x14ac:dyDescent="0.55000000000000004">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 customHeight="1" x14ac:dyDescent="0.55000000000000004">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 customHeight="1" x14ac:dyDescent="0.55000000000000004">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 customHeight="1" x14ac:dyDescent="0.550000000000000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 customHeight="1" x14ac:dyDescent="0.55000000000000004">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 customHeight="1" x14ac:dyDescent="0.55000000000000004">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 customHeight="1" x14ac:dyDescent="0.55000000000000004">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 customHeight="1" x14ac:dyDescent="0.55000000000000004">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 customHeight="1" x14ac:dyDescent="0.55000000000000004">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 customHeight="1" x14ac:dyDescent="0.55000000000000004">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 customHeight="1" x14ac:dyDescent="0.55000000000000004">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 customHeight="1" x14ac:dyDescent="0.55000000000000004">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 customHeight="1" x14ac:dyDescent="0.55000000000000004">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 customHeight="1" x14ac:dyDescent="0.5500000000000000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 customHeight="1" x14ac:dyDescent="0.55000000000000004">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 customHeight="1" x14ac:dyDescent="0.55000000000000004">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 customHeight="1" x14ac:dyDescent="0.55000000000000004">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 customHeight="1" x14ac:dyDescent="0.55000000000000004">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 customHeight="1" x14ac:dyDescent="0.55000000000000004">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 customHeight="1" x14ac:dyDescent="0.55000000000000004">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 customHeight="1" x14ac:dyDescent="0.55000000000000004">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 customHeight="1" x14ac:dyDescent="0.55000000000000004">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 customHeight="1" x14ac:dyDescent="0.55000000000000004">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 customHeight="1" x14ac:dyDescent="0.5500000000000000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 customHeight="1" x14ac:dyDescent="0.55000000000000004">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 customHeight="1" x14ac:dyDescent="0.55000000000000004">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 customHeight="1" x14ac:dyDescent="0.55000000000000004">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 customHeight="1" x14ac:dyDescent="0.55000000000000004">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 customHeight="1" x14ac:dyDescent="0.55000000000000004">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 customHeight="1" x14ac:dyDescent="0.55000000000000004">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 customHeight="1" x14ac:dyDescent="0.55000000000000004">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 customHeight="1" x14ac:dyDescent="0.55000000000000004">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 customHeight="1" x14ac:dyDescent="0.55000000000000004">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 customHeight="1" x14ac:dyDescent="0.5500000000000000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 customHeight="1" x14ac:dyDescent="0.55000000000000004">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 customHeight="1" x14ac:dyDescent="0.55000000000000004">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 customHeight="1" x14ac:dyDescent="0.55000000000000004">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 customHeight="1" x14ac:dyDescent="0.55000000000000004">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 customHeight="1" x14ac:dyDescent="0.55000000000000004">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 customHeight="1" x14ac:dyDescent="0.55000000000000004">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 customHeight="1" x14ac:dyDescent="0.55000000000000004">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 customHeight="1" x14ac:dyDescent="0.55000000000000004">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 customHeight="1" x14ac:dyDescent="0.55000000000000004">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 customHeight="1" x14ac:dyDescent="0.5500000000000000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 customHeight="1" x14ac:dyDescent="0.55000000000000004">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 customHeight="1" x14ac:dyDescent="0.55000000000000004">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 customHeight="1" x14ac:dyDescent="0.55000000000000004">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 customHeight="1" x14ac:dyDescent="0.55000000000000004">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 customHeight="1" x14ac:dyDescent="0.55000000000000004">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 customHeight="1" x14ac:dyDescent="0.55000000000000004">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 customHeight="1" x14ac:dyDescent="0.55000000000000004">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 customHeight="1" x14ac:dyDescent="0.55000000000000004">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 customHeight="1" x14ac:dyDescent="0.55000000000000004">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 customHeight="1" x14ac:dyDescent="0.5500000000000000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 customHeight="1" x14ac:dyDescent="0.55000000000000004">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55000000000000004">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spans="1:26" ht="15.75" customHeight="1" x14ac:dyDescent="0.55000000000000004">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spans="1:26" ht="15.75" customHeight="1" x14ac:dyDescent="0.55000000000000004">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spans="1:26" ht="15.75" customHeight="1" x14ac:dyDescent="0.55000000000000004">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spans="1:26" ht="15.75" customHeight="1" x14ac:dyDescent="0.55000000000000004">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spans="1:26" ht="15.75" customHeight="1" x14ac:dyDescent="0.55000000000000004">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spans="1:26" ht="15.75" customHeight="1" x14ac:dyDescent="0.55000000000000004">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spans="1:26" ht="15.75" customHeight="1" x14ac:dyDescent="0.55000000000000004">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spans="1:26" ht="15.75" customHeight="1" x14ac:dyDescent="0.55000000000000004">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spans="1:26" ht="15.75" customHeight="1" x14ac:dyDescent="0.55000000000000004">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spans="1:26" ht="15.75" customHeight="1" x14ac:dyDescent="0.55000000000000004">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spans="1:26" ht="15.75" customHeight="1" x14ac:dyDescent="0.55000000000000004">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spans="1:26" ht="15.75" customHeight="1" x14ac:dyDescent="0.55000000000000004">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spans="1:26" ht="15.75" customHeight="1" x14ac:dyDescent="0.55000000000000004">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spans="1:26" ht="15.75" customHeight="1" x14ac:dyDescent="0.55000000000000004">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spans="1:26" ht="15.75" customHeight="1" x14ac:dyDescent="0.55000000000000004">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spans="1:26" ht="15.75" customHeight="1" x14ac:dyDescent="0.55000000000000004">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spans="1:26" ht="15.75" customHeight="1" x14ac:dyDescent="0.55000000000000004">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spans="1:26" ht="15.75" customHeight="1" x14ac:dyDescent="0.55000000000000004">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spans="1:26" ht="15.75" customHeight="1" x14ac:dyDescent="0.55000000000000004">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spans="1:26" ht="15.75" customHeight="1" x14ac:dyDescent="0.55000000000000004">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spans="1:26" ht="15.75" customHeight="1" x14ac:dyDescent="0.55000000000000004">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spans="1:26" ht="15.75" customHeight="1" x14ac:dyDescent="0.55000000000000004">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spans="1:26" ht="15.75" customHeight="1" x14ac:dyDescent="0.55000000000000004">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spans="1:26" ht="15.75" customHeight="1" x14ac:dyDescent="0.55000000000000004">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spans="1:26" ht="15.75" customHeight="1" x14ac:dyDescent="0.55000000000000004">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spans="1:26" ht="15.75" customHeight="1" x14ac:dyDescent="0.55000000000000004">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spans="1:26" ht="15.75" customHeight="1" x14ac:dyDescent="0.55000000000000004">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spans="1:26" ht="15.75" customHeight="1" x14ac:dyDescent="0.55000000000000004">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spans="1:26" ht="15.75" customHeight="1" x14ac:dyDescent="0.55000000000000004">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spans="1:26" ht="15.75" customHeight="1" x14ac:dyDescent="0.55000000000000004">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spans="1:26" ht="15.75" customHeight="1" x14ac:dyDescent="0.55000000000000004">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spans="1:26" ht="15.75" customHeight="1" x14ac:dyDescent="0.55000000000000004">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spans="1:26" ht="15.75" customHeight="1" x14ac:dyDescent="0.55000000000000004">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spans="1:26" ht="15.75" customHeight="1" x14ac:dyDescent="0.55000000000000004">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spans="1:26" ht="15.75" customHeight="1" x14ac:dyDescent="0.55000000000000004">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spans="1:26" ht="15.75" customHeight="1" x14ac:dyDescent="0.55000000000000004">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spans="1:26" ht="15.75" customHeight="1" x14ac:dyDescent="0.55000000000000004">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spans="1:26" ht="15.75" customHeight="1" x14ac:dyDescent="0.55000000000000004">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spans="1:26" ht="15.75" customHeight="1" x14ac:dyDescent="0.55000000000000004">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spans="1:26" ht="15.75" customHeight="1" x14ac:dyDescent="0.55000000000000004">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spans="1:26" ht="15.75" customHeight="1" x14ac:dyDescent="0.55000000000000004">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spans="1:26" ht="15.75" customHeight="1" x14ac:dyDescent="0.55000000000000004">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spans="1:26" ht="15.75" customHeight="1" x14ac:dyDescent="0.55000000000000004">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spans="1:26" ht="15.75" customHeight="1" x14ac:dyDescent="0.55000000000000004">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spans="1:26" ht="15.75" customHeight="1" x14ac:dyDescent="0.55000000000000004">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spans="1:26" ht="15.75" customHeight="1" x14ac:dyDescent="0.55000000000000004">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spans="1:26" ht="15.75" customHeight="1" x14ac:dyDescent="0.55000000000000004">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spans="1:26" ht="15.75" customHeight="1" x14ac:dyDescent="0.55000000000000004">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spans="1:26" ht="15.75" customHeight="1" x14ac:dyDescent="0.55000000000000004">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spans="1:26" ht="15.75" customHeight="1" x14ac:dyDescent="0.55000000000000004">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spans="1:26" ht="15.75" customHeight="1" x14ac:dyDescent="0.55000000000000004">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spans="1:26" ht="15.75" customHeight="1" x14ac:dyDescent="0.55000000000000004">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spans="1:26" ht="15.75" customHeight="1" x14ac:dyDescent="0.55000000000000004">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spans="1:26" ht="15.75" customHeight="1" x14ac:dyDescent="0.55000000000000004">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spans="1:26" ht="15.75" customHeight="1" x14ac:dyDescent="0.55000000000000004">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spans="1:26" ht="15.75" customHeight="1" x14ac:dyDescent="0.55000000000000004">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spans="1:26" ht="15.75" customHeight="1" x14ac:dyDescent="0.55000000000000004">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spans="1:26" ht="15.75" customHeight="1" x14ac:dyDescent="0.55000000000000004">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spans="1:26" ht="15.75" customHeight="1" x14ac:dyDescent="0.55000000000000004">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spans="1:26" ht="15.75" customHeight="1" x14ac:dyDescent="0.55000000000000004">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spans="1:26" ht="15.75" customHeight="1" x14ac:dyDescent="0.55000000000000004">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spans="1:26" ht="15.75" customHeight="1" x14ac:dyDescent="0.55000000000000004">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spans="1:26" ht="15.75" customHeight="1" x14ac:dyDescent="0.55000000000000004">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spans="1:26" ht="15.75" customHeight="1" x14ac:dyDescent="0.55000000000000004">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spans="1:26" ht="15.75" customHeight="1" x14ac:dyDescent="0.55000000000000004">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spans="1:26" ht="15.75" customHeight="1" x14ac:dyDescent="0.55000000000000004">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spans="1:26" ht="15.75" customHeight="1" x14ac:dyDescent="0.55000000000000004">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spans="1:26" ht="15.75" customHeight="1" x14ac:dyDescent="0.55000000000000004">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spans="1:26" ht="15.75" customHeight="1" x14ac:dyDescent="0.55000000000000004">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spans="1:26" ht="15.75" customHeight="1" x14ac:dyDescent="0.55000000000000004">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spans="1:26" ht="15.75" customHeight="1" x14ac:dyDescent="0.55000000000000004">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spans="1:26" ht="15.75" customHeight="1" x14ac:dyDescent="0.55000000000000004">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spans="1:26" ht="15.75" customHeight="1" x14ac:dyDescent="0.55000000000000004">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spans="1:26" ht="15.75" customHeight="1" x14ac:dyDescent="0.55000000000000004">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spans="1:26" ht="15.75" customHeight="1" x14ac:dyDescent="0.55000000000000004">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spans="1:26" ht="15.75" customHeight="1" x14ac:dyDescent="0.55000000000000004">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spans="1:26" ht="15.75" customHeight="1" x14ac:dyDescent="0.55000000000000004">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spans="1:26" ht="15.75" customHeight="1" x14ac:dyDescent="0.55000000000000004">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spans="1:26" ht="15.75" customHeight="1" x14ac:dyDescent="0.55000000000000004">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spans="1:26" ht="15.75" customHeight="1" x14ac:dyDescent="0.55000000000000004">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spans="1:26" ht="15.75" customHeight="1" x14ac:dyDescent="0.55000000000000004">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spans="1:26" ht="15.75" customHeight="1" x14ac:dyDescent="0.55000000000000004">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spans="1:26" ht="15.75" customHeight="1" x14ac:dyDescent="0.55000000000000004">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spans="1:26" ht="15.75" customHeight="1" x14ac:dyDescent="0.55000000000000004">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spans="1:26" ht="15.75" customHeight="1" x14ac:dyDescent="0.55000000000000004">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spans="1:26" ht="15.75" customHeight="1" x14ac:dyDescent="0.55000000000000004">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spans="1:26" ht="15.75" customHeight="1" x14ac:dyDescent="0.55000000000000004">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spans="1:26" ht="15.75" customHeight="1" x14ac:dyDescent="0.55000000000000004">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spans="1:26" ht="15.75" customHeight="1" x14ac:dyDescent="0.55000000000000004">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spans="1:26" ht="15.75" customHeight="1" x14ac:dyDescent="0.55000000000000004">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spans="1:26" ht="15.75" customHeight="1" x14ac:dyDescent="0.55000000000000004">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spans="1:26" ht="15.75" customHeight="1" x14ac:dyDescent="0.55000000000000004">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spans="1:26" ht="15.75" customHeight="1" x14ac:dyDescent="0.55000000000000004">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spans="1:26" ht="15.75" customHeight="1" x14ac:dyDescent="0.55000000000000004">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spans="1:26" ht="15.75" customHeight="1" x14ac:dyDescent="0.55000000000000004">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spans="1:26" ht="15.75" customHeight="1" x14ac:dyDescent="0.55000000000000004">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spans="1:26" ht="15.75" customHeight="1" x14ac:dyDescent="0.55000000000000004">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spans="1:26" ht="15.75" customHeight="1" x14ac:dyDescent="0.55000000000000004">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spans="1:26" ht="15.75" customHeight="1" x14ac:dyDescent="0.55000000000000004">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spans="1:26" ht="15.75" customHeight="1" x14ac:dyDescent="0.55000000000000004">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spans="1:26" ht="15.75" customHeight="1" x14ac:dyDescent="0.55000000000000004">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spans="1:26" ht="15.75" customHeight="1" x14ac:dyDescent="0.55000000000000004">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spans="1:26" ht="15.75" customHeight="1" x14ac:dyDescent="0.55000000000000004">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spans="1:26" ht="15.75" customHeight="1" x14ac:dyDescent="0.55000000000000004">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spans="1:26" ht="15.75" customHeight="1" x14ac:dyDescent="0.55000000000000004">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spans="1:26" ht="15.75" customHeight="1" x14ac:dyDescent="0.55000000000000004">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spans="1:26" ht="15.75" customHeight="1" x14ac:dyDescent="0.55000000000000004">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spans="1:26" ht="15.75" customHeight="1" x14ac:dyDescent="0.55000000000000004">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spans="1:26" ht="15.75" customHeight="1" x14ac:dyDescent="0.55000000000000004">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spans="1:26" ht="15.75" customHeight="1" x14ac:dyDescent="0.55000000000000004">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spans="1:26" ht="15.75" customHeight="1" x14ac:dyDescent="0.55000000000000004">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spans="1:26" ht="15.75" customHeight="1" x14ac:dyDescent="0.55000000000000004">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spans="1:26" ht="15.75" customHeight="1" x14ac:dyDescent="0.55000000000000004">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spans="1:26" ht="15.75" customHeight="1" x14ac:dyDescent="0.55000000000000004">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spans="1:26" ht="15.75" customHeight="1" x14ac:dyDescent="0.55000000000000004">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spans="1:26" ht="15.75" customHeight="1" x14ac:dyDescent="0.55000000000000004">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spans="1:26" ht="15.75" customHeight="1" x14ac:dyDescent="0.55000000000000004">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spans="1:26" ht="15.75" customHeight="1" x14ac:dyDescent="0.55000000000000004">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spans="1:26" ht="15.75" customHeight="1" x14ac:dyDescent="0.55000000000000004">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spans="1:26" ht="15.75" customHeight="1" x14ac:dyDescent="0.55000000000000004">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spans="1:26" ht="15.75" customHeight="1" x14ac:dyDescent="0.55000000000000004">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spans="1:26" ht="15.75" customHeight="1" x14ac:dyDescent="0.55000000000000004">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spans="1:26" ht="15.75" customHeight="1" x14ac:dyDescent="0.55000000000000004">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spans="1:26" ht="15.75" customHeight="1" x14ac:dyDescent="0.55000000000000004">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spans="1:26" ht="15.75" customHeight="1" x14ac:dyDescent="0.55000000000000004">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spans="1:26" ht="15.75" customHeight="1" x14ac:dyDescent="0.55000000000000004">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spans="1:26" ht="15.75" customHeight="1" x14ac:dyDescent="0.55000000000000004">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spans="1:26" ht="15.75" customHeight="1" x14ac:dyDescent="0.55000000000000004">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spans="1:26" ht="15.75" customHeight="1" x14ac:dyDescent="0.55000000000000004">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spans="1:26" ht="15.75" customHeight="1" x14ac:dyDescent="0.55000000000000004">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spans="1:26" ht="15.75" customHeight="1" x14ac:dyDescent="0.55000000000000004">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spans="1:26" ht="15.75" customHeight="1" x14ac:dyDescent="0.55000000000000004">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spans="1:26" ht="15.75" customHeight="1" x14ac:dyDescent="0.55000000000000004">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spans="1:26" ht="15.75" customHeight="1" x14ac:dyDescent="0.55000000000000004">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spans="1:26" ht="15.75" customHeight="1" x14ac:dyDescent="0.55000000000000004">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spans="1:26" ht="15.75" customHeight="1" x14ac:dyDescent="0.55000000000000004">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spans="1:26" ht="15.75" customHeight="1" x14ac:dyDescent="0.55000000000000004">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spans="1:26" ht="15.75" customHeight="1" x14ac:dyDescent="0.55000000000000004">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spans="1:26" ht="15.75" customHeight="1" x14ac:dyDescent="0.55000000000000004">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spans="1:26" ht="15.75" customHeight="1" x14ac:dyDescent="0.55000000000000004">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spans="1:26" ht="15.75" customHeight="1" x14ac:dyDescent="0.55000000000000004">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spans="1:26" ht="15.75" customHeight="1" x14ac:dyDescent="0.55000000000000004">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spans="1:26" ht="15.75" customHeight="1" x14ac:dyDescent="0.55000000000000004">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spans="1:26" ht="15.75" customHeight="1" x14ac:dyDescent="0.55000000000000004">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spans="1:26" ht="15.75" customHeight="1" x14ac:dyDescent="0.55000000000000004">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spans="1:26" ht="15.75" customHeight="1" x14ac:dyDescent="0.55000000000000004">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spans="1:26" ht="15.75" customHeight="1" x14ac:dyDescent="0.55000000000000004">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spans="1:26" ht="15.75" customHeight="1" x14ac:dyDescent="0.55000000000000004">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spans="1:26" ht="15.75" customHeight="1" x14ac:dyDescent="0.55000000000000004">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spans="1:26" ht="15.75" customHeight="1" x14ac:dyDescent="0.55000000000000004">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spans="1:26" ht="15.75" customHeight="1" x14ac:dyDescent="0.55000000000000004">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spans="1:26" ht="15.75" customHeight="1" x14ac:dyDescent="0.55000000000000004">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spans="1:26" ht="15.75" customHeight="1" x14ac:dyDescent="0.55000000000000004">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spans="1:26" ht="15.75" customHeight="1" x14ac:dyDescent="0.55000000000000004">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spans="1:26" ht="15.75" customHeight="1" x14ac:dyDescent="0.55000000000000004">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spans="1:26" ht="15.75" customHeight="1" x14ac:dyDescent="0.55000000000000004">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spans="1:26" ht="15.75" customHeight="1" x14ac:dyDescent="0.55000000000000004">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spans="1:26" ht="15.75" customHeight="1" x14ac:dyDescent="0.55000000000000004">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spans="1:26" ht="15.75" customHeight="1" x14ac:dyDescent="0.55000000000000004">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spans="1:26" ht="15.75" customHeight="1" x14ac:dyDescent="0.55000000000000004">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spans="1:26" ht="15.75" customHeight="1" x14ac:dyDescent="0.55000000000000004">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spans="1:26" ht="15.75" customHeight="1" x14ac:dyDescent="0.55000000000000004">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spans="1:26" ht="15.75" customHeight="1" x14ac:dyDescent="0.55000000000000004">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spans="1:26" ht="15.75" customHeight="1" x14ac:dyDescent="0.55000000000000004">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spans="1:26" ht="15.75" customHeight="1" x14ac:dyDescent="0.55000000000000004">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spans="1:26" ht="15.75" customHeight="1" x14ac:dyDescent="0.55000000000000004">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spans="1:26" ht="15.75" customHeight="1" x14ac:dyDescent="0.55000000000000004">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spans="1:26" ht="15.75" customHeight="1" x14ac:dyDescent="0.55000000000000004">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spans="1:26" ht="15.75" customHeight="1" x14ac:dyDescent="0.55000000000000004">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spans="1:26" ht="15.75" customHeight="1" x14ac:dyDescent="0.55000000000000004">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spans="1:26" ht="15.75" customHeight="1" x14ac:dyDescent="0.55000000000000004">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spans="1:26" ht="15.75" customHeight="1" x14ac:dyDescent="0.55000000000000004">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spans="1:26" ht="15.75" customHeight="1" x14ac:dyDescent="0.55000000000000004">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spans="1:26" ht="15.75" customHeight="1" x14ac:dyDescent="0.55000000000000004">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spans="1:26" ht="15.75" customHeight="1" x14ac:dyDescent="0.55000000000000004">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spans="1:26" ht="15.75" customHeight="1" x14ac:dyDescent="0.55000000000000004">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spans="1:26" ht="15.75" customHeight="1" x14ac:dyDescent="0.55000000000000004">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spans="1:26" ht="15.75" customHeight="1" x14ac:dyDescent="0.55000000000000004">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spans="1:26" ht="15.75" customHeight="1" x14ac:dyDescent="0.55000000000000004">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spans="1:26" ht="15.75" customHeight="1" x14ac:dyDescent="0.55000000000000004">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spans="1:26" ht="15.75" customHeight="1" x14ac:dyDescent="0.55000000000000004">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spans="1:26" ht="15.75" customHeight="1" x14ac:dyDescent="0.55000000000000004">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spans="1:26" ht="15.75" customHeight="1" x14ac:dyDescent="0.55000000000000004">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spans="1:26" ht="15.75" customHeight="1" x14ac:dyDescent="0.55000000000000004">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spans="1:26" ht="15.75" customHeight="1" x14ac:dyDescent="0.55000000000000004">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spans="1:26" ht="15.75" customHeight="1" x14ac:dyDescent="0.55000000000000004">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spans="1:26" ht="15.75" customHeight="1" x14ac:dyDescent="0.55000000000000004">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spans="1:26" ht="15.75" customHeight="1" x14ac:dyDescent="0.55000000000000004">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spans="1:26" ht="15.75" customHeight="1" x14ac:dyDescent="0.55000000000000004">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spans="1:26" ht="15.75" customHeight="1" x14ac:dyDescent="0.55000000000000004">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spans="1:26" ht="15.75" customHeight="1" x14ac:dyDescent="0.55000000000000004">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spans="1:26" ht="15.75" customHeight="1" x14ac:dyDescent="0.55000000000000004">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spans="1:26" ht="15.75" customHeight="1" x14ac:dyDescent="0.55000000000000004">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spans="1:26" ht="15.75" customHeight="1" x14ac:dyDescent="0.55000000000000004">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spans="1:26" ht="15.75" customHeight="1" x14ac:dyDescent="0.55000000000000004">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spans="1:26" ht="15.75" customHeight="1" x14ac:dyDescent="0.55000000000000004">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spans="1:26" ht="15.75" customHeight="1" x14ac:dyDescent="0.55000000000000004">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spans="1:26" ht="15.75" customHeight="1" x14ac:dyDescent="0.55000000000000004">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spans="1:26" ht="15.75" customHeight="1" x14ac:dyDescent="0.55000000000000004">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spans="1:26" ht="15.75" customHeight="1" x14ac:dyDescent="0.55000000000000004">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spans="1:26" ht="15.75" customHeight="1" x14ac:dyDescent="0.55000000000000004">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spans="1:26" ht="15.75" customHeight="1" x14ac:dyDescent="0.55000000000000004">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spans="1:26" ht="15.75" customHeight="1" x14ac:dyDescent="0.55000000000000004">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spans="1:26" ht="15.75" customHeight="1" x14ac:dyDescent="0.55000000000000004">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spans="1:26" ht="15.75" customHeight="1" x14ac:dyDescent="0.55000000000000004">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spans="1:26" ht="15.75" customHeight="1" x14ac:dyDescent="0.55000000000000004">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spans="1:26" ht="15.75" customHeight="1" x14ac:dyDescent="0.55000000000000004">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spans="1:26" ht="15.75" customHeight="1" x14ac:dyDescent="0.55000000000000004">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spans="1:26" ht="15.75" customHeight="1" x14ac:dyDescent="0.55000000000000004">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spans="1:26" ht="15.75" customHeight="1" x14ac:dyDescent="0.55000000000000004">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spans="1:26" ht="15.75" customHeight="1" x14ac:dyDescent="0.55000000000000004">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spans="1:26" ht="15.75" customHeight="1" x14ac:dyDescent="0.55000000000000004">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spans="1:26" ht="15.75" customHeight="1" x14ac:dyDescent="0.55000000000000004">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spans="1:26" ht="15.75" customHeight="1" x14ac:dyDescent="0.55000000000000004">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spans="1:26" ht="15.75" customHeight="1" x14ac:dyDescent="0.55000000000000004">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spans="1:26" ht="15.75" customHeight="1" x14ac:dyDescent="0.55000000000000004">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spans="1:26" ht="15.75" customHeight="1" x14ac:dyDescent="0.55000000000000004">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spans="1:26" ht="15.75" customHeight="1" x14ac:dyDescent="0.55000000000000004">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spans="1:26" ht="15.75" customHeight="1" x14ac:dyDescent="0.55000000000000004">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spans="1:26" ht="15.75" customHeight="1" x14ac:dyDescent="0.55000000000000004">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spans="1:26" ht="15.75" customHeight="1" x14ac:dyDescent="0.55000000000000004">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spans="1:26" ht="15.75" customHeight="1" x14ac:dyDescent="0.55000000000000004">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spans="1:26" ht="15.75" customHeight="1" x14ac:dyDescent="0.55000000000000004">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spans="1:26" ht="15.75" customHeight="1" x14ac:dyDescent="0.55000000000000004">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spans="1:26" ht="15.75" customHeight="1" x14ac:dyDescent="0.55000000000000004">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spans="1:26" ht="15.75" customHeight="1" x14ac:dyDescent="0.55000000000000004">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spans="1:26" ht="15.75" customHeight="1" x14ac:dyDescent="0.55000000000000004">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spans="1:26" ht="15.75" customHeight="1" x14ac:dyDescent="0.55000000000000004">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spans="1:26" ht="15.75" customHeight="1" x14ac:dyDescent="0.55000000000000004">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spans="1:26" ht="15.75" customHeight="1" x14ac:dyDescent="0.55000000000000004">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spans="1:26" ht="15.75" customHeight="1" x14ac:dyDescent="0.55000000000000004">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spans="1:26" ht="15.75" customHeight="1" x14ac:dyDescent="0.55000000000000004">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spans="1:26" ht="15.75" customHeight="1" x14ac:dyDescent="0.55000000000000004">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spans="1:26" ht="15.75" customHeight="1" x14ac:dyDescent="0.55000000000000004">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spans="1:26" ht="15.75" customHeight="1" x14ac:dyDescent="0.55000000000000004">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spans="1:26" ht="15.75" customHeight="1" x14ac:dyDescent="0.55000000000000004">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spans="1:26" ht="15.75" customHeight="1" x14ac:dyDescent="0.55000000000000004">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spans="1:26" ht="15.75" customHeight="1" x14ac:dyDescent="0.55000000000000004">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spans="1:26" ht="15.75" customHeight="1" x14ac:dyDescent="0.55000000000000004">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spans="1:26" ht="15.75" customHeight="1" x14ac:dyDescent="0.55000000000000004">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spans="1:26" ht="15.75" customHeight="1" x14ac:dyDescent="0.55000000000000004">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spans="1:26" ht="15.75" customHeight="1" x14ac:dyDescent="0.55000000000000004">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spans="1:26" ht="15.75" customHeight="1" x14ac:dyDescent="0.55000000000000004">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spans="1:26" ht="15.75" customHeight="1" x14ac:dyDescent="0.55000000000000004">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spans="1:26" ht="15.75" customHeight="1" x14ac:dyDescent="0.55000000000000004">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spans="1:26" ht="15.75" customHeight="1" x14ac:dyDescent="0.55000000000000004">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spans="1:26" ht="15.75" customHeight="1" x14ac:dyDescent="0.55000000000000004">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spans="1:26" ht="15.75" customHeight="1" x14ac:dyDescent="0.55000000000000004">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spans="1:26" ht="15.75" customHeight="1" x14ac:dyDescent="0.55000000000000004">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spans="1:26" ht="15.75" customHeight="1" x14ac:dyDescent="0.55000000000000004">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spans="1:26" ht="15.75" customHeight="1" x14ac:dyDescent="0.55000000000000004">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spans="1:26" ht="15.75" customHeight="1" x14ac:dyDescent="0.55000000000000004">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spans="1:26" ht="15.75" customHeight="1" x14ac:dyDescent="0.55000000000000004">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spans="1:26" ht="15.75" customHeight="1" x14ac:dyDescent="0.55000000000000004">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spans="1:26" ht="15.75" customHeight="1" x14ac:dyDescent="0.55000000000000004">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spans="1:26" ht="15.75" customHeight="1" x14ac:dyDescent="0.55000000000000004">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spans="1:26" ht="15.75" customHeight="1" x14ac:dyDescent="0.55000000000000004">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spans="1:26" ht="15.75" customHeight="1" x14ac:dyDescent="0.55000000000000004">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spans="1:26" ht="15.75" customHeight="1" x14ac:dyDescent="0.55000000000000004">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spans="1:26" ht="15.75" customHeight="1" x14ac:dyDescent="0.55000000000000004">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spans="1:26" ht="15.75" customHeight="1" x14ac:dyDescent="0.55000000000000004">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spans="1:26" ht="15.75" customHeight="1" x14ac:dyDescent="0.55000000000000004">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spans="1:26" ht="15.75" customHeight="1" x14ac:dyDescent="0.55000000000000004">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spans="1:26" ht="15.75" customHeight="1" x14ac:dyDescent="0.55000000000000004">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spans="1:26" ht="15.75" customHeight="1" x14ac:dyDescent="0.55000000000000004">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spans="1:26" ht="15.75" customHeight="1" x14ac:dyDescent="0.55000000000000004">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spans="1:26" ht="15.75" customHeight="1" x14ac:dyDescent="0.55000000000000004">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spans="1:26" ht="15.75" customHeight="1" x14ac:dyDescent="0.55000000000000004">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spans="1:26" ht="15.75" customHeight="1" x14ac:dyDescent="0.55000000000000004">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spans="1:26" ht="15.75" customHeight="1" x14ac:dyDescent="0.55000000000000004">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spans="1:26" ht="15.75" customHeight="1" x14ac:dyDescent="0.55000000000000004">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spans="1:26" ht="15.75" customHeight="1" x14ac:dyDescent="0.55000000000000004">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spans="1:26" ht="15.75" customHeight="1" x14ac:dyDescent="0.55000000000000004">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spans="1:26" ht="15.75" customHeight="1" x14ac:dyDescent="0.55000000000000004">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spans="1:26" ht="15.75" customHeight="1" x14ac:dyDescent="0.55000000000000004">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spans="1:26" ht="15.75" customHeight="1" x14ac:dyDescent="0.55000000000000004">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spans="1:26" ht="15.75" customHeight="1" x14ac:dyDescent="0.55000000000000004">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spans="1:26" ht="15.75" customHeight="1" x14ac:dyDescent="0.55000000000000004">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spans="1:26" ht="15.75" customHeight="1" x14ac:dyDescent="0.55000000000000004">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spans="1:26" ht="15.75" customHeight="1" x14ac:dyDescent="0.55000000000000004">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spans="1:26" ht="15.75" customHeight="1" x14ac:dyDescent="0.55000000000000004">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spans="1:26" ht="15.75" customHeight="1" x14ac:dyDescent="0.55000000000000004">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spans="1:26" ht="15.75" customHeight="1" x14ac:dyDescent="0.55000000000000004">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spans="1:26" ht="15.75" customHeight="1" x14ac:dyDescent="0.55000000000000004">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spans="1:26" ht="15.75" customHeight="1" x14ac:dyDescent="0.55000000000000004">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spans="1:26" ht="15.75" customHeight="1" x14ac:dyDescent="0.55000000000000004">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spans="1:26" ht="15.75" customHeight="1" x14ac:dyDescent="0.55000000000000004">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spans="1:26" ht="15.75" customHeight="1" x14ac:dyDescent="0.55000000000000004">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spans="1:26" ht="15.75" customHeight="1" x14ac:dyDescent="0.55000000000000004">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spans="1:26" ht="15.75" customHeight="1" x14ac:dyDescent="0.55000000000000004">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spans="1:26" ht="15.75" customHeight="1" x14ac:dyDescent="0.55000000000000004">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spans="1:26" ht="15.75" customHeight="1" x14ac:dyDescent="0.55000000000000004">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spans="1:26" ht="15.75" customHeight="1" x14ac:dyDescent="0.55000000000000004">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spans="1:26" ht="15.75" customHeight="1" x14ac:dyDescent="0.55000000000000004">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spans="1:26" ht="15.75" customHeight="1" x14ac:dyDescent="0.55000000000000004">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spans="1:26" ht="15.75" customHeight="1" x14ac:dyDescent="0.55000000000000004">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spans="1:26" ht="15.75" customHeight="1" x14ac:dyDescent="0.55000000000000004">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spans="1:26" ht="15.75" customHeight="1" x14ac:dyDescent="0.55000000000000004">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spans="1:26" ht="15.75" customHeight="1" x14ac:dyDescent="0.55000000000000004">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spans="1:26" ht="15.75" customHeight="1" x14ac:dyDescent="0.55000000000000004">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spans="1:26" ht="15.75" customHeight="1" x14ac:dyDescent="0.55000000000000004">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spans="1:26" ht="15.75" customHeight="1" x14ac:dyDescent="0.55000000000000004">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spans="1:26" ht="15.75" customHeight="1" x14ac:dyDescent="0.55000000000000004">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spans="1:26" ht="15.75" customHeight="1" x14ac:dyDescent="0.55000000000000004">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spans="1:26" ht="15.75" customHeight="1" x14ac:dyDescent="0.55000000000000004">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spans="1:26" ht="15.75" customHeight="1" x14ac:dyDescent="0.55000000000000004">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spans="1:26" ht="15.75" customHeight="1" x14ac:dyDescent="0.55000000000000004">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spans="1:26" ht="15.75" customHeight="1" x14ac:dyDescent="0.55000000000000004">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spans="1:26" ht="15.75" customHeight="1" x14ac:dyDescent="0.55000000000000004">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spans="1:26" ht="15.75" customHeight="1" x14ac:dyDescent="0.55000000000000004">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spans="1:26" ht="15.75" customHeight="1" x14ac:dyDescent="0.55000000000000004">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spans="1:26" ht="15.75" customHeight="1" x14ac:dyDescent="0.55000000000000004">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spans="1:26" ht="15.75" customHeight="1" x14ac:dyDescent="0.55000000000000004">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spans="1:26" ht="15.75" customHeight="1" x14ac:dyDescent="0.55000000000000004">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spans="1:26" ht="15.75" customHeight="1" x14ac:dyDescent="0.55000000000000004">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spans="1:26" ht="15.75" customHeight="1" x14ac:dyDescent="0.55000000000000004">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spans="1:26" ht="15.75" customHeight="1" x14ac:dyDescent="0.55000000000000004">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spans="1:26" ht="15.75" customHeight="1" x14ac:dyDescent="0.55000000000000004">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spans="1:26" ht="15.75" customHeight="1" x14ac:dyDescent="0.55000000000000004">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spans="1:26" ht="15.75" customHeight="1" x14ac:dyDescent="0.55000000000000004">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spans="1:26" ht="15.75" customHeight="1" x14ac:dyDescent="0.55000000000000004">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spans="1:26" ht="15.75" customHeight="1" x14ac:dyDescent="0.55000000000000004">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spans="1:26" ht="15.75" customHeight="1" x14ac:dyDescent="0.55000000000000004">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spans="1:26" ht="15.75" customHeight="1" x14ac:dyDescent="0.55000000000000004">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spans="1:26" ht="15.75" customHeight="1" x14ac:dyDescent="0.55000000000000004">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spans="1:26" ht="15.75" customHeight="1" x14ac:dyDescent="0.55000000000000004">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spans="1:26" ht="15.75" customHeight="1" x14ac:dyDescent="0.55000000000000004">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spans="1:26" ht="15.75" customHeight="1" x14ac:dyDescent="0.55000000000000004">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spans="1:26" ht="15.75" customHeight="1" x14ac:dyDescent="0.55000000000000004">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spans="1:26" ht="15.75" customHeight="1" x14ac:dyDescent="0.55000000000000004">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spans="1:26" ht="15.75" customHeight="1" x14ac:dyDescent="0.55000000000000004">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spans="1:26" ht="15.75" customHeight="1" x14ac:dyDescent="0.55000000000000004">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spans="1:26" ht="15.75" customHeight="1" x14ac:dyDescent="0.55000000000000004">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spans="1:26" ht="15.75" customHeight="1" x14ac:dyDescent="0.55000000000000004">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spans="1:26" ht="15.75" customHeight="1" x14ac:dyDescent="0.55000000000000004">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spans="1:26" ht="15.75" customHeight="1" x14ac:dyDescent="0.55000000000000004">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spans="1:26" ht="15.75" customHeight="1" x14ac:dyDescent="0.55000000000000004">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spans="1:26" ht="15.75" customHeight="1" x14ac:dyDescent="0.55000000000000004">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spans="1:26" ht="15.75" customHeight="1" x14ac:dyDescent="0.55000000000000004">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spans="1:26" ht="15.75" customHeight="1" x14ac:dyDescent="0.55000000000000004">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spans="1:26" ht="15.75" customHeight="1" x14ac:dyDescent="0.55000000000000004">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spans="1:26" ht="15.75" customHeight="1" x14ac:dyDescent="0.55000000000000004">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spans="1:26" ht="15.75" customHeight="1" x14ac:dyDescent="0.55000000000000004">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spans="1:26" ht="15.75" customHeight="1" x14ac:dyDescent="0.55000000000000004">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spans="1:26" ht="15.75" customHeight="1" x14ac:dyDescent="0.55000000000000004">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spans="1:26" ht="15.75" customHeight="1" x14ac:dyDescent="0.55000000000000004">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spans="1:26" ht="15.75" customHeight="1" x14ac:dyDescent="0.55000000000000004">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spans="1:26" ht="15.75" customHeight="1" x14ac:dyDescent="0.55000000000000004">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spans="1:26" ht="15.75" customHeight="1" x14ac:dyDescent="0.55000000000000004">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spans="1:26" ht="15.75" customHeight="1" x14ac:dyDescent="0.55000000000000004">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spans="1:26" ht="15.75" customHeight="1" x14ac:dyDescent="0.55000000000000004">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spans="1:26" ht="15.75" customHeight="1" x14ac:dyDescent="0.55000000000000004">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spans="1:26" ht="15.75" customHeight="1" x14ac:dyDescent="0.55000000000000004">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spans="1:26" ht="15.75" customHeight="1" x14ac:dyDescent="0.55000000000000004">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spans="1:26" ht="15.75" customHeight="1" x14ac:dyDescent="0.55000000000000004">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spans="1:26" ht="15.75" customHeight="1" x14ac:dyDescent="0.55000000000000004">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spans="1:26" ht="15.75" customHeight="1" x14ac:dyDescent="0.55000000000000004">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spans="1:26" ht="15.75" customHeight="1" x14ac:dyDescent="0.55000000000000004">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spans="1:26" ht="15.75" customHeight="1" x14ac:dyDescent="0.55000000000000004">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spans="1:26" ht="15.75" customHeight="1" x14ac:dyDescent="0.55000000000000004">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spans="1:26" ht="15.75" customHeight="1" x14ac:dyDescent="0.55000000000000004">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spans="1:26" ht="15.75" customHeight="1" x14ac:dyDescent="0.55000000000000004">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spans="1:26" ht="15.75" customHeight="1" x14ac:dyDescent="0.55000000000000004">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spans="1:26" ht="15.75" customHeight="1" x14ac:dyDescent="0.55000000000000004">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spans="1:26" ht="15.75" customHeight="1" x14ac:dyDescent="0.55000000000000004">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spans="1:26" ht="15.75" customHeight="1" x14ac:dyDescent="0.55000000000000004">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spans="1:26" ht="15.75" customHeight="1" x14ac:dyDescent="0.55000000000000004">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spans="1:26" ht="15.75" customHeight="1" x14ac:dyDescent="0.55000000000000004">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spans="1:26" ht="15.75" customHeight="1" x14ac:dyDescent="0.55000000000000004">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spans="1:26" ht="15.75" customHeight="1" x14ac:dyDescent="0.55000000000000004">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spans="1:26" ht="15.75" customHeight="1" x14ac:dyDescent="0.55000000000000004">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spans="1:26" ht="15.75" customHeight="1" x14ac:dyDescent="0.55000000000000004">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spans="1:26" ht="15.75" customHeight="1" x14ac:dyDescent="0.55000000000000004">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spans="1:26" ht="15.75" customHeight="1" x14ac:dyDescent="0.55000000000000004">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spans="1:26" ht="15.75" customHeight="1" x14ac:dyDescent="0.55000000000000004">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spans="1:26" ht="15.75" customHeight="1" x14ac:dyDescent="0.55000000000000004">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spans="1:26" ht="15.75" customHeight="1" x14ac:dyDescent="0.55000000000000004">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spans="1:26" ht="15.75" customHeight="1" x14ac:dyDescent="0.55000000000000004">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spans="1:26" ht="15.75" customHeight="1" x14ac:dyDescent="0.55000000000000004">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spans="1:26" ht="15.75" customHeight="1" x14ac:dyDescent="0.55000000000000004">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spans="1:26" ht="15.75" customHeight="1" x14ac:dyDescent="0.55000000000000004">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spans="1:26" ht="15.75" customHeight="1" x14ac:dyDescent="0.55000000000000004">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spans="1:26" ht="15.75" customHeight="1" x14ac:dyDescent="0.55000000000000004">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spans="1:26" ht="15.75" customHeight="1" x14ac:dyDescent="0.55000000000000004">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spans="1:26" ht="15.75" customHeight="1" x14ac:dyDescent="0.55000000000000004">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spans="1:26" ht="15.75" customHeight="1" x14ac:dyDescent="0.55000000000000004">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spans="1:26" ht="15.75" customHeight="1" x14ac:dyDescent="0.55000000000000004">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spans="1:26" ht="15.75" customHeight="1" x14ac:dyDescent="0.55000000000000004">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spans="1:26" ht="15.75" customHeight="1" x14ac:dyDescent="0.55000000000000004">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spans="1:26" ht="15.75" customHeight="1" x14ac:dyDescent="0.55000000000000004">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spans="1:26" ht="15.75" customHeight="1" x14ac:dyDescent="0.55000000000000004">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spans="1:26" ht="15.75" customHeight="1" x14ac:dyDescent="0.55000000000000004">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spans="1:26" ht="15.75" customHeight="1" x14ac:dyDescent="0.55000000000000004">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spans="1:26" ht="15.75" customHeight="1" x14ac:dyDescent="0.55000000000000004">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spans="1:26" ht="15.75" customHeight="1" x14ac:dyDescent="0.55000000000000004">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spans="1:26" ht="15.75" customHeight="1" x14ac:dyDescent="0.55000000000000004">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spans="1:26" ht="15.75" customHeight="1" x14ac:dyDescent="0.55000000000000004">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spans="1:26" ht="15.75" customHeight="1" x14ac:dyDescent="0.55000000000000004">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spans="1:26" ht="15.75" customHeight="1" x14ac:dyDescent="0.55000000000000004">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spans="1:26" ht="15.75" customHeight="1" x14ac:dyDescent="0.55000000000000004">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spans="1:26" ht="15.75" customHeight="1" x14ac:dyDescent="0.55000000000000004">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spans="1:26" ht="15.75" customHeight="1" x14ac:dyDescent="0.55000000000000004">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spans="1:26" ht="15.75" customHeight="1" x14ac:dyDescent="0.55000000000000004">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spans="1:26" ht="15.75" customHeight="1" x14ac:dyDescent="0.55000000000000004">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spans="1:26" ht="15.75" customHeight="1" x14ac:dyDescent="0.55000000000000004">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spans="1:26" ht="15.75" customHeight="1" x14ac:dyDescent="0.55000000000000004">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spans="1:26" ht="15.75" customHeight="1" x14ac:dyDescent="0.55000000000000004">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spans="1:26" ht="15.75" customHeight="1" x14ac:dyDescent="0.55000000000000004">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spans="1:26" ht="15.75" customHeight="1" x14ac:dyDescent="0.55000000000000004">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spans="1:26" ht="15.75" customHeight="1" x14ac:dyDescent="0.55000000000000004">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spans="1:26" ht="15.75" customHeight="1" x14ac:dyDescent="0.55000000000000004">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spans="1:26" ht="15.75" customHeight="1" x14ac:dyDescent="0.55000000000000004">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spans="1:26" ht="15.75" customHeight="1" x14ac:dyDescent="0.55000000000000004">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spans="1:26" ht="15.75" customHeight="1" x14ac:dyDescent="0.55000000000000004">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spans="1:26" ht="15.75" customHeight="1" x14ac:dyDescent="0.55000000000000004">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spans="1:26" ht="15.75" customHeight="1" x14ac:dyDescent="0.55000000000000004">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spans="1:26" ht="15.75" customHeight="1" x14ac:dyDescent="0.55000000000000004">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spans="1:26" ht="15.75" customHeight="1" x14ac:dyDescent="0.55000000000000004">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spans="1:26" ht="15.75" customHeight="1" x14ac:dyDescent="0.55000000000000004">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spans="1:26" ht="15.75" customHeight="1" x14ac:dyDescent="0.55000000000000004">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spans="1:26" ht="15.75" customHeight="1" x14ac:dyDescent="0.55000000000000004">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spans="1:26" ht="15.75" customHeight="1" x14ac:dyDescent="0.55000000000000004">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spans="1:26" ht="15.75" customHeight="1" x14ac:dyDescent="0.55000000000000004">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spans="1:26" ht="15.75" customHeight="1" x14ac:dyDescent="0.55000000000000004">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spans="1:26" ht="15.75" customHeight="1" x14ac:dyDescent="0.55000000000000004">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spans="1:26" ht="15.75" customHeight="1" x14ac:dyDescent="0.55000000000000004">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spans="1:26" ht="15.75" customHeight="1" x14ac:dyDescent="0.55000000000000004">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spans="1:26" ht="15.75" customHeight="1" x14ac:dyDescent="0.55000000000000004">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spans="1:26" ht="15.75" customHeight="1" x14ac:dyDescent="0.55000000000000004">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spans="1:26" ht="15.75" customHeight="1" x14ac:dyDescent="0.55000000000000004">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spans="1:26" ht="15.75" customHeight="1" x14ac:dyDescent="0.55000000000000004">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spans="1:26" ht="15.75" customHeight="1" x14ac:dyDescent="0.55000000000000004">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spans="1:26" ht="15.75" customHeight="1" x14ac:dyDescent="0.55000000000000004">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spans="1:26" ht="15.75" customHeight="1" x14ac:dyDescent="0.55000000000000004">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spans="1:26" ht="15.75" customHeight="1" x14ac:dyDescent="0.55000000000000004">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spans="1:26" ht="15.75" customHeight="1" x14ac:dyDescent="0.55000000000000004">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spans="1:26" ht="15.75" customHeight="1" x14ac:dyDescent="0.55000000000000004">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spans="1:26" ht="15.75" customHeight="1" x14ac:dyDescent="0.55000000000000004">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spans="1:26" ht="15.75" customHeight="1" x14ac:dyDescent="0.55000000000000004">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spans="1:26" ht="15.75" customHeight="1" x14ac:dyDescent="0.55000000000000004">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spans="1:26" ht="15.75" customHeight="1" x14ac:dyDescent="0.55000000000000004">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spans="1:26" ht="15.75" customHeight="1" x14ac:dyDescent="0.55000000000000004">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spans="1:26" ht="15.75" customHeight="1" x14ac:dyDescent="0.55000000000000004">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spans="1:26" ht="15.75" customHeight="1" x14ac:dyDescent="0.55000000000000004">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spans="1:26" ht="15.75" customHeight="1" x14ac:dyDescent="0.55000000000000004">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spans="1:26" ht="15.75" customHeight="1" x14ac:dyDescent="0.55000000000000004">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spans="1:26" ht="15.75" customHeight="1" x14ac:dyDescent="0.55000000000000004">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spans="1:26" ht="15.75" customHeight="1" x14ac:dyDescent="0.55000000000000004">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spans="1:26" ht="15.75" customHeight="1" x14ac:dyDescent="0.55000000000000004">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spans="1:26" ht="15.75" customHeight="1" x14ac:dyDescent="0.55000000000000004">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spans="1:26" ht="15.75" customHeight="1" x14ac:dyDescent="0.55000000000000004">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spans="1:26" ht="15.75" customHeight="1" x14ac:dyDescent="0.55000000000000004">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spans="1:26" ht="15.75" customHeight="1" x14ac:dyDescent="0.55000000000000004">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spans="1:26" ht="15.75" customHeight="1" x14ac:dyDescent="0.55000000000000004">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spans="1:26" ht="15.75" customHeight="1" x14ac:dyDescent="0.55000000000000004">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spans="1:26" ht="15.75" customHeight="1" x14ac:dyDescent="0.55000000000000004">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spans="1:26" ht="15.75" customHeight="1" x14ac:dyDescent="0.55000000000000004">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spans="1:26" ht="15.75" customHeight="1" x14ac:dyDescent="0.55000000000000004">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spans="1:26" ht="15.75" customHeight="1" x14ac:dyDescent="0.55000000000000004">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spans="1:26" ht="15.75" customHeight="1" x14ac:dyDescent="0.55000000000000004">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spans="1:26" ht="15.75" customHeight="1" x14ac:dyDescent="0.55000000000000004">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spans="1:26" ht="15.75" customHeight="1" x14ac:dyDescent="0.55000000000000004">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spans="1:26" ht="15.75" customHeight="1" x14ac:dyDescent="0.55000000000000004">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spans="1:26" ht="15.75" customHeight="1" x14ac:dyDescent="0.55000000000000004">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spans="1:26" ht="15.75" customHeight="1" x14ac:dyDescent="0.55000000000000004">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spans="1:26" ht="15.75" customHeight="1" x14ac:dyDescent="0.55000000000000004">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spans="1:26" ht="15.75" customHeight="1" x14ac:dyDescent="0.55000000000000004">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spans="1:26" ht="15.75" customHeight="1" x14ac:dyDescent="0.55000000000000004">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spans="1:26" ht="15.75" customHeight="1" x14ac:dyDescent="0.55000000000000004">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spans="1:26" ht="15.75" customHeight="1" x14ac:dyDescent="0.55000000000000004">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spans="1:26" ht="15.75" customHeight="1" x14ac:dyDescent="0.55000000000000004">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spans="1:26" ht="15.75" customHeight="1" x14ac:dyDescent="0.55000000000000004">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spans="1:26" ht="15.75" customHeight="1" x14ac:dyDescent="0.55000000000000004">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spans="1:26" ht="15.75" customHeight="1" x14ac:dyDescent="0.55000000000000004">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spans="1:26" ht="15.75" customHeight="1" x14ac:dyDescent="0.55000000000000004">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spans="1:26" ht="15.75" customHeight="1" x14ac:dyDescent="0.55000000000000004">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spans="1:26" ht="15.75" customHeight="1" x14ac:dyDescent="0.55000000000000004">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spans="1:26" ht="15.75" customHeight="1" x14ac:dyDescent="0.55000000000000004">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spans="1:26" ht="15.75" customHeight="1" x14ac:dyDescent="0.55000000000000004">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spans="1:26" ht="15.75" customHeight="1" x14ac:dyDescent="0.55000000000000004">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spans="1:26" ht="15.75" customHeight="1" x14ac:dyDescent="0.55000000000000004">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spans="1:26" ht="15.75" customHeight="1" x14ac:dyDescent="0.55000000000000004">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spans="1:26" ht="15.75" customHeight="1" x14ac:dyDescent="0.55000000000000004">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spans="1:26" ht="15.75" customHeight="1" x14ac:dyDescent="0.55000000000000004">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spans="1:26" ht="15.75" customHeight="1" x14ac:dyDescent="0.55000000000000004">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spans="1:26" ht="15.75" customHeight="1" x14ac:dyDescent="0.55000000000000004">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spans="1:26" ht="15.75" customHeight="1" x14ac:dyDescent="0.55000000000000004">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spans="1:26" ht="15.75" customHeight="1" x14ac:dyDescent="0.55000000000000004">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spans="1:26" ht="15.75" customHeight="1" x14ac:dyDescent="0.55000000000000004">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spans="1:26" ht="15.75" customHeight="1" x14ac:dyDescent="0.55000000000000004">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spans="1:26" ht="15.75" customHeight="1" x14ac:dyDescent="0.55000000000000004">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spans="1:26" ht="15.75" customHeight="1" x14ac:dyDescent="0.55000000000000004">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spans="1:26" ht="15.75" customHeight="1" x14ac:dyDescent="0.55000000000000004">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spans="1:26" ht="15.75" customHeight="1" x14ac:dyDescent="0.55000000000000004">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spans="1:26" ht="15.75" customHeight="1" x14ac:dyDescent="0.55000000000000004">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spans="1:26" ht="15.75" customHeight="1" x14ac:dyDescent="0.55000000000000004">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spans="1:26" ht="15.75" customHeight="1" x14ac:dyDescent="0.55000000000000004">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spans="1:26" ht="15.75" customHeight="1" x14ac:dyDescent="0.55000000000000004">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spans="1:26" ht="15.75" customHeight="1" x14ac:dyDescent="0.55000000000000004">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spans="1:26" ht="15.75" customHeight="1" x14ac:dyDescent="0.55000000000000004">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spans="1:26" ht="15.75" customHeight="1" x14ac:dyDescent="0.55000000000000004">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spans="1:26" ht="15.75" customHeight="1" x14ac:dyDescent="0.55000000000000004">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spans="1:26" ht="15.75" customHeight="1" x14ac:dyDescent="0.55000000000000004">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spans="1:26" ht="15.75" customHeight="1" x14ac:dyDescent="0.55000000000000004">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spans="1:26" ht="15.75" customHeight="1" x14ac:dyDescent="0.55000000000000004">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spans="1:26" ht="15.75" customHeight="1" x14ac:dyDescent="0.55000000000000004">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spans="1:26" ht="15.75" customHeight="1" x14ac:dyDescent="0.55000000000000004">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spans="1:26" ht="15.75" customHeight="1" x14ac:dyDescent="0.55000000000000004">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spans="1:26" ht="15.75" customHeight="1" x14ac:dyDescent="0.55000000000000004">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spans="1:26" ht="15.75" customHeight="1" x14ac:dyDescent="0.55000000000000004">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spans="1:26" ht="15.75" customHeight="1" x14ac:dyDescent="0.55000000000000004">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spans="1:26" ht="15.75" customHeight="1" x14ac:dyDescent="0.55000000000000004">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spans="1:26" ht="15.75" customHeight="1" x14ac:dyDescent="0.55000000000000004">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spans="1:26" ht="15.75" customHeight="1" x14ac:dyDescent="0.55000000000000004">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spans="1:26" ht="15.75" customHeight="1" x14ac:dyDescent="0.55000000000000004">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spans="1:26" ht="15.75" customHeight="1" x14ac:dyDescent="0.55000000000000004">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spans="1:26" ht="15.75" customHeight="1" x14ac:dyDescent="0.55000000000000004">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spans="1:26" ht="15.75" customHeight="1" x14ac:dyDescent="0.55000000000000004">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spans="1:26" ht="15.75" customHeight="1" x14ac:dyDescent="0.55000000000000004">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spans="1:26" ht="15.75" customHeight="1" x14ac:dyDescent="0.55000000000000004">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spans="1:26" ht="15.75" customHeight="1" x14ac:dyDescent="0.55000000000000004">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spans="1:26" ht="15.75" customHeight="1" x14ac:dyDescent="0.55000000000000004">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spans="1:26" ht="15.75" customHeight="1" x14ac:dyDescent="0.55000000000000004">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spans="1:26" ht="15.75" customHeight="1" x14ac:dyDescent="0.55000000000000004">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spans="1:26" ht="15.75" customHeight="1" x14ac:dyDescent="0.55000000000000004">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spans="1:26" ht="15.75" customHeight="1" x14ac:dyDescent="0.55000000000000004">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spans="1:26" ht="15.75" customHeight="1" x14ac:dyDescent="0.55000000000000004">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spans="1:26" ht="15.75" customHeight="1" x14ac:dyDescent="0.55000000000000004">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spans="1:26" ht="15.75" customHeight="1" x14ac:dyDescent="0.55000000000000004">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spans="1:26" ht="15.75" customHeight="1" x14ac:dyDescent="0.55000000000000004">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spans="1:26" ht="15.75" customHeight="1" x14ac:dyDescent="0.55000000000000004">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spans="1:26" ht="15.75" customHeight="1" x14ac:dyDescent="0.55000000000000004">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row>
    <row r="989" spans="1:26" ht="15.75" customHeight="1" x14ac:dyDescent="0.55000000000000004">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row>
    <row r="990" spans="1:26" ht="15.75" customHeight="1" x14ac:dyDescent="0.55000000000000004">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row>
    <row r="991" spans="1:26" ht="15.75" customHeight="1" x14ac:dyDescent="0.55000000000000004">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row>
    <row r="992" spans="1:26" ht="15.75" customHeight="1" x14ac:dyDescent="0.55000000000000004">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row>
    <row r="993" spans="1:26" ht="15.75" customHeight="1" x14ac:dyDescent="0.55000000000000004">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row>
    <row r="994" spans="1:26" ht="15.75" customHeight="1" x14ac:dyDescent="0.55000000000000004">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row>
    <row r="995" spans="1:26" ht="15.75" customHeight="1" x14ac:dyDescent="0.55000000000000004">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row>
    <row r="996" spans="1:26" ht="15.75" customHeight="1" x14ac:dyDescent="0.55000000000000004">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row>
    <row r="997" spans="1:26" ht="15.75" customHeight="1" x14ac:dyDescent="0.55000000000000004">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row>
    <row r="998" spans="1:26" ht="15.75" customHeight="1" x14ac:dyDescent="0.55000000000000004">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row>
    <row r="999" spans="1:26" ht="15.75" customHeight="1" x14ac:dyDescent="0.55000000000000004">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row>
    <row r="1000" spans="1:26" ht="15.75" customHeight="1" x14ac:dyDescent="0.55000000000000004">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row>
  </sheetData>
  <mergeCells count="8">
    <mergeCell ref="C148:G148"/>
    <mergeCell ref="C149:G149"/>
    <mergeCell ref="H185:H186"/>
    <mergeCell ref="C5:D5"/>
    <mergeCell ref="C10:D10"/>
    <mergeCell ref="C15:D15"/>
    <mergeCell ref="C20:D20"/>
    <mergeCell ref="C25:D25"/>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1000"/>
  <sheetViews>
    <sheetView workbookViewId="0"/>
  </sheetViews>
  <sheetFormatPr defaultColWidth="14.41796875" defaultRowHeight="15" customHeight="1" x14ac:dyDescent="0.55000000000000004"/>
  <cols>
    <col min="1" max="1" width="8.83984375" customWidth="1"/>
    <col min="2" max="2" width="58.41796875" customWidth="1"/>
    <col min="3" max="7" width="8.83984375" customWidth="1"/>
  </cols>
  <sheetData>
    <row r="1" spans="2:7" ht="14.25" customHeight="1" x14ac:dyDescent="0.55000000000000004"/>
    <row r="2" spans="2:7" ht="14.25" customHeight="1" x14ac:dyDescent="0.55000000000000004"/>
    <row r="3" spans="2:7" ht="14.25" customHeight="1" x14ac:dyDescent="0.55000000000000004">
      <c r="B3" s="90" t="s">
        <v>12</v>
      </c>
      <c r="G3" s="90" t="s">
        <v>933</v>
      </c>
    </row>
    <row r="4" spans="2:7" ht="14.25" customHeight="1" x14ac:dyDescent="0.55000000000000004">
      <c r="B4" s="90" t="s">
        <v>33</v>
      </c>
      <c r="G4" s="90" t="s">
        <v>934</v>
      </c>
    </row>
    <row r="5" spans="2:7" ht="14.25" customHeight="1" x14ac:dyDescent="0.55000000000000004">
      <c r="B5" s="90" t="s">
        <v>118</v>
      </c>
      <c r="G5" s="90" t="s">
        <v>935</v>
      </c>
    </row>
    <row r="6" spans="2:7" ht="14.25" customHeight="1" x14ac:dyDescent="0.55000000000000004">
      <c r="B6" s="90" t="s">
        <v>30</v>
      </c>
      <c r="G6" s="90" t="s">
        <v>936</v>
      </c>
    </row>
    <row r="7" spans="2:7" ht="14.25" customHeight="1" x14ac:dyDescent="0.55000000000000004">
      <c r="B7" s="90" t="s">
        <v>62</v>
      </c>
      <c r="G7" s="90" t="s">
        <v>937</v>
      </c>
    </row>
    <row r="8" spans="2:7" ht="14.25" customHeight="1" x14ac:dyDescent="0.55000000000000004">
      <c r="B8" s="90" t="s">
        <v>36</v>
      </c>
    </row>
    <row r="9" spans="2:7" ht="14.25" customHeight="1" x14ac:dyDescent="0.55000000000000004">
      <c r="B9" s="90" t="s">
        <v>389</v>
      </c>
    </row>
    <row r="10" spans="2:7" ht="14.25" customHeight="1" x14ac:dyDescent="0.55000000000000004">
      <c r="B10" s="90" t="s">
        <v>120</v>
      </c>
    </row>
    <row r="11" spans="2:7" ht="14.25" customHeight="1" x14ac:dyDescent="0.55000000000000004">
      <c r="B11" s="90" t="s">
        <v>132</v>
      </c>
    </row>
    <row r="12" spans="2:7" ht="14.25" customHeight="1" x14ac:dyDescent="0.55000000000000004">
      <c r="B12" s="90" t="s">
        <v>23</v>
      </c>
    </row>
    <row r="13" spans="2:7" ht="14.25" customHeight="1" x14ac:dyDescent="0.55000000000000004"/>
    <row r="14" spans="2:7" ht="14.25" customHeight="1" x14ac:dyDescent="0.55000000000000004"/>
    <row r="15" spans="2:7" ht="14.25" customHeight="1" x14ac:dyDescent="0.55000000000000004"/>
    <row r="16" spans="2:7"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5.75" customHeight="1" x14ac:dyDescent="0.55000000000000004"/>
    <row r="222" ht="15.75" customHeight="1" x14ac:dyDescent="0.55000000000000004"/>
    <row r="223" ht="15.75" customHeight="1" x14ac:dyDescent="0.55000000000000004"/>
    <row r="224" ht="15.75" customHeight="1" x14ac:dyDescent="0.55000000000000004"/>
    <row r="225" ht="15.75" customHeight="1" x14ac:dyDescent="0.55000000000000004"/>
    <row r="226" ht="15.75" customHeight="1" x14ac:dyDescent="0.55000000000000004"/>
    <row r="227" ht="15.75" customHeight="1" x14ac:dyDescent="0.55000000000000004"/>
    <row r="228" ht="15.75" customHeight="1" x14ac:dyDescent="0.55000000000000004"/>
    <row r="229" ht="15.75" customHeight="1" x14ac:dyDescent="0.55000000000000004"/>
    <row r="230" ht="15.75" customHeight="1" x14ac:dyDescent="0.55000000000000004"/>
    <row r="231" ht="15.75" customHeight="1" x14ac:dyDescent="0.55000000000000004"/>
    <row r="232" ht="15.75" customHeight="1" x14ac:dyDescent="0.55000000000000004"/>
    <row r="233" ht="15.75" customHeight="1" x14ac:dyDescent="0.55000000000000004"/>
    <row r="234" ht="15.75" customHeight="1" x14ac:dyDescent="0.55000000000000004"/>
    <row r="235" ht="15.75" customHeight="1" x14ac:dyDescent="0.55000000000000004"/>
    <row r="236" ht="15.75" customHeight="1" x14ac:dyDescent="0.55000000000000004"/>
    <row r="237" ht="15.75" customHeight="1" x14ac:dyDescent="0.55000000000000004"/>
    <row r="238" ht="15.75" customHeight="1" x14ac:dyDescent="0.55000000000000004"/>
    <row r="239" ht="15.75" customHeight="1" x14ac:dyDescent="0.55000000000000004"/>
    <row r="240"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row r="999" ht="15.75" customHeight="1" x14ac:dyDescent="0.55000000000000004"/>
    <row r="1000" ht="15.75" customHeight="1" x14ac:dyDescent="0.55000000000000004"/>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Data Element Mapping</vt:lpstr>
      <vt:lpstr>STRING Clarification</vt:lpstr>
      <vt:lpstr>Drop Down List</vt:lpstr>
      <vt:lpstr>MandatoryOptional</vt:lpstr>
      <vt:lpstr>XML_Sections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R Shriver</dc:creator>
  <cp:lastModifiedBy>Daniel Stafford</cp:lastModifiedBy>
  <dcterms:created xsi:type="dcterms:W3CDTF">2023-10-20T13:39:06Z</dcterms:created>
  <dcterms:modified xsi:type="dcterms:W3CDTF">2025-02-13T15:02:22Z</dcterms:modified>
</cp:coreProperties>
</file>