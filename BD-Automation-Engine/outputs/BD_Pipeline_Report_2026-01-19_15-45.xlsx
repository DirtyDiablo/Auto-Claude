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workbookAlgorithmName="SHA-512" workbookHashValue="xBffMffaygZaz5POP7O+0flTfH8O9mS+GIcEK1Hzk3kFJHvZ3fyot6H8Ae491qVqtbF60NqkxcobklDFaXD2dw==" workbookSaltValue="eT3h9ezyBBLzS6JejB02pw==" workbookSpinCount="100000"/>
  <bookViews>
    <workbookView visibility="visible" minimized="0" showHorizontalScroll="1" showVerticalScroll="1" showSheetTabs="1" xWindow="-120" yWindow="-120" windowWidth="29040" windowHeight="15720" tabRatio="786" firstSheet="1" activeTab="7" autoFilterDateGrouping="1"/>
  </bookViews>
  <sheets>
    <sheet xmlns:r="http://schemas.openxmlformats.org/officeDocument/2006/relationships" name="Drops" sheetId="1" state="hidden" r:id="rId1"/>
    <sheet xmlns:r="http://schemas.openxmlformats.org/officeDocument/2006/relationships" name="Instructions" sheetId="2" state="visible" r:id="rId2"/>
    <sheet xmlns:r="http://schemas.openxmlformats.org/officeDocument/2006/relationships" name="Goals" sheetId="3" state="visible" r:id="rId3"/>
    <sheet xmlns:r="http://schemas.openxmlformats.org/officeDocument/2006/relationships" name="Pipeline" sheetId="4" state="visible" r:id="rId4"/>
    <sheet xmlns:r="http://schemas.openxmlformats.org/officeDocument/2006/relationships" name="TOP 20 Customers" sheetId="5" state="visible" r:id="rId5"/>
    <sheet xmlns:r="http://schemas.openxmlformats.org/officeDocument/2006/relationships" name="Last Week Next Week" sheetId="6" state="hidden" r:id="rId6"/>
    <sheet xmlns:r="http://schemas.openxmlformats.org/officeDocument/2006/relationships" name="Delivery " sheetId="7" state="visible" r:id="rId7"/>
    <sheet xmlns:r="http://schemas.openxmlformats.org/officeDocument/2006/relationships" name="Business Development" sheetId="8" state="visible" r:id="rId8"/>
  </sheets>
  <definedNames/>
  <calcPr calcId="191028" fullCalcOnLoad="1"/>
</workbook>
</file>

<file path=xl/styles.xml><?xml version="1.0" encoding="utf-8"?>
<styleSheet xmlns="http://schemas.openxmlformats.org/spreadsheetml/2006/main">
  <numFmts count="3">
    <numFmt numFmtId="164" formatCode="&quot;$&quot;#,##0_);[Red]\(&quot;$&quot;#,##0\)"/>
    <numFmt numFmtId="165" formatCode="0&quot;.&quot;"/>
    <numFmt numFmtId="166" formatCode="00;\-00;\-;@"/>
  </numFmts>
  <fonts count="23">
    <font>
      <name val="Calibri"/>
      <family val="2"/>
      <color theme="1"/>
      <sz val="11"/>
      <scheme val="minor"/>
    </font>
    <font>
      <name val="Calibri"/>
      <family val="2"/>
      <b val="1"/>
      <color theme="1"/>
      <sz val="16"/>
      <scheme val="minor"/>
    </font>
    <font>
      <name val="Calibri"/>
      <family val="2"/>
      <color theme="1"/>
      <sz val="11"/>
      <scheme val="minor"/>
    </font>
    <font>
      <name val="Calibri"/>
      <family val="2"/>
      <color rgb="FF000000"/>
      <sz val="11"/>
    </font>
    <font>
      <name val="Calibri"/>
      <family val="2"/>
      <color rgb="FF000000"/>
      <sz val="11"/>
    </font>
    <font>
      <name val="Calibri"/>
      <family val="2"/>
      <color theme="1"/>
      <sz val="12"/>
      <scheme val="minor"/>
    </font>
    <font>
      <name val="Calibri"/>
      <family val="2"/>
      <color indexed="8"/>
      <sz val="11"/>
      <scheme val="minor"/>
    </font>
    <font>
      <name val="Arial"/>
      <family val="2"/>
      <sz val="10"/>
    </font>
    <font>
      <name val="Calibri"/>
      <family val="2"/>
      <b val="1"/>
      <color theme="1"/>
      <sz val="11"/>
      <u val="single"/>
      <scheme val="minor"/>
    </font>
    <font>
      <name val="Calibri"/>
      <family val="2"/>
      <b val="1"/>
      <color theme="1"/>
      <sz val="11"/>
      <scheme val="minor"/>
    </font>
    <font>
      <name val="Calibri"/>
      <family val="2"/>
      <color theme="0"/>
      <sz val="11"/>
      <scheme val="minor"/>
    </font>
    <font>
      <name val="Calibri"/>
      <family val="2"/>
      <b val="1"/>
      <color theme="1"/>
      <sz val="20"/>
      <scheme val="minor"/>
    </font>
    <font>
      <name val="Calibri"/>
      <family val="2"/>
      <b val="1"/>
      <sz val="12"/>
      <scheme val="minor"/>
    </font>
    <font>
      <name val="Calibri"/>
      <family val="2"/>
      <sz val="11"/>
      <scheme val="minor"/>
    </font>
    <font>
      <name val="Calibri"/>
      <family val="2"/>
      <b val="1"/>
      <sz val="11"/>
      <u val="single"/>
      <scheme val="minor"/>
    </font>
    <font>
      <name val="Calibri"/>
      <family val="2"/>
      <b val="1"/>
      <color theme="0"/>
      <sz val="16"/>
      <scheme val="minor"/>
    </font>
    <font>
      <name val="Calibri"/>
      <family val="2"/>
      <b val="1"/>
      <i val="1"/>
      <sz val="10"/>
      <scheme val="minor"/>
    </font>
    <font>
      <name val="Calibri"/>
      <family val="2"/>
      <b val="1"/>
      <i val="1"/>
      <color theme="0"/>
      <sz val="16"/>
      <scheme val="minor"/>
    </font>
    <font>
      <name val="Calibri"/>
      <family val="2"/>
      <i val="1"/>
      <color theme="1"/>
      <sz val="11"/>
      <scheme val="minor"/>
    </font>
    <font>
      <name val="Calibri"/>
      <family val="2"/>
      <b val="1"/>
      <sz val="10"/>
      <scheme val="minor"/>
    </font>
    <font>
      <name val="Calibri"/>
      <family val="2"/>
      <b val="1"/>
      <color theme="0"/>
      <sz val="12"/>
      <scheme val="minor"/>
    </font>
    <font>
      <name val="Calibri"/>
      <family val="2"/>
      <color theme="1"/>
      <sz val="10"/>
      <scheme val="minor"/>
    </font>
    <font>
      <name val="Calibri"/>
      <family val="2"/>
      <b val="1"/>
      <sz val="11"/>
      <scheme val="minor"/>
    </font>
  </fonts>
  <fills count="20">
    <fill>
      <patternFill/>
    </fill>
    <fill>
      <patternFill patternType="gray125"/>
    </fill>
    <fill>
      <patternFill patternType="solid">
        <fgColor theme="9" tint="0.5999938962981048"/>
        <bgColor indexed="64"/>
      </patternFill>
    </fill>
    <fill>
      <patternFill patternType="solid">
        <fgColor theme="7" tint="0.5999938962981048"/>
        <bgColor indexed="64"/>
      </patternFill>
    </fill>
    <fill>
      <patternFill patternType="solid">
        <fgColor theme="5" tint="0.5999938962981048"/>
        <bgColor indexed="64"/>
      </patternFill>
    </fill>
    <fill>
      <patternFill patternType="solid">
        <fgColor rgb="FF002060"/>
        <bgColor indexed="64"/>
      </patternFill>
    </fill>
    <fill>
      <patternFill patternType="solid">
        <fgColor theme="9" tint="0.7999816888943144"/>
        <bgColor indexed="64"/>
      </patternFill>
    </fill>
    <fill>
      <patternFill patternType="solid">
        <fgColor theme="9" tint="0.7999816888943144"/>
        <bgColor theme="1"/>
      </patternFill>
    </fill>
    <fill>
      <patternFill patternType="solid">
        <fgColor theme="9" tint="0.3999755851924192"/>
        <bgColor indexed="64"/>
      </patternFill>
    </fill>
    <fill>
      <patternFill patternType="solid">
        <fgColor theme="7" tint="0.7999816888943144"/>
        <bgColor indexed="64"/>
      </patternFill>
    </fill>
    <fill>
      <patternFill patternType="solid">
        <fgColor theme="7" tint="0.7999816888943144"/>
        <bgColor theme="1"/>
      </patternFill>
    </fill>
    <fill>
      <patternFill patternType="solid">
        <fgColor theme="7" tint="0.3999755851924192"/>
        <bgColor indexed="64"/>
      </patternFill>
    </fill>
    <fill>
      <patternFill patternType="solid">
        <fgColor theme="8" tint="0.7999816888943144"/>
        <bgColor indexed="64"/>
      </patternFill>
    </fill>
    <fill>
      <patternFill patternType="solid">
        <fgColor theme="8" tint="0.7999816888943144"/>
        <bgColor theme="1"/>
      </patternFill>
    </fill>
    <fill>
      <patternFill patternType="solid">
        <fgColor theme="8" tint="0.3999755851924192"/>
        <bgColor indexed="64"/>
      </patternFill>
    </fill>
    <fill>
      <patternFill patternType="solid">
        <fgColor theme="5" tint="0.7999816888943144"/>
        <bgColor indexed="64"/>
      </patternFill>
    </fill>
    <fill>
      <patternFill patternType="solid">
        <fgColor theme="5" tint="0.3999755851924192"/>
        <bgColor indexed="64"/>
      </patternFill>
    </fill>
    <fill>
      <patternFill patternType="solid">
        <fgColor theme="0" tint="-0.499984740745262"/>
        <bgColor indexed="64"/>
      </patternFill>
    </fill>
    <fill>
      <patternFill patternType="solid">
        <fgColor theme="5" tint="0.7999816888943144"/>
        <bgColor theme="1"/>
      </patternFill>
    </fill>
    <fill>
      <patternFill patternType="solid">
        <fgColor theme="8" tint="-0.499984740745262"/>
        <bgColor indexed="64"/>
      </patternFill>
    </fill>
  </fills>
  <borders count="29">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15">
    <xf numFmtId="0" fontId="2" fillId="0" borderId="0"/>
    <xf numFmtId="0" fontId="4" fillId="0" borderId="0"/>
    <xf numFmtId="0" fontId="4" fillId="0" borderId="0"/>
    <xf numFmtId="0" fontId="4" fillId="0" borderId="0"/>
    <xf numFmtId="0" fontId="5" fillId="0" borderId="0"/>
    <xf numFmtId="0" fontId="6" fillId="0" borderId="0"/>
    <xf numFmtId="0" fontId="2" fillId="0" borderId="0"/>
    <xf numFmtId="44" fontId="2" fillId="0" borderId="0"/>
    <xf numFmtId="0" fontId="7" fillId="0" borderId="0"/>
    <xf numFmtId="0" fontId="2" fillId="0" borderId="0"/>
    <xf numFmtId="44" fontId="2" fillId="0" borderId="0"/>
    <xf numFmtId="0" fontId="5" fillId="0" borderId="0"/>
    <xf numFmtId="0" fontId="4" fillId="0" borderId="0"/>
    <xf numFmtId="44" fontId="6" fillId="0" borderId="0"/>
    <xf numFmtId="43" fontId="6" fillId="0" borderId="0"/>
  </cellStyleXfs>
  <cellXfs count="207">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left"/>
    </xf>
    <xf numFmtId="0" fontId="11" fillId="0" borderId="0" pivotButton="0" quotePrefix="0" xfId="0"/>
    <xf numFmtId="164" fontId="0" fillId="0" borderId="4" applyAlignment="1" pivotButton="0" quotePrefix="0" xfId="0">
      <alignment horizontal="right"/>
    </xf>
    <xf numFmtId="164" fontId="0" fillId="0" borderId="6" applyAlignment="1" pivotButton="0" quotePrefix="0" xfId="0">
      <alignment horizontal="right"/>
    </xf>
    <xf numFmtId="164" fontId="0" fillId="0" borderId="8" applyAlignment="1" pivotButton="0" quotePrefix="0" xfId="0">
      <alignment horizontal="right"/>
    </xf>
    <xf numFmtId="0" fontId="9" fillId="0" borderId="9" pivotButton="0" quotePrefix="0" xfId="0"/>
    <xf numFmtId="164" fontId="9" fillId="0" borderId="11" pivotButton="0" quotePrefix="0" xfId="0"/>
    <xf numFmtId="0" fontId="0" fillId="0" borderId="3" applyAlignment="1" pivotButton="0" quotePrefix="0" xfId="0">
      <alignment horizontal="center"/>
    </xf>
    <xf numFmtId="0" fontId="0" fillId="0" borderId="0" applyAlignment="1" pivotButton="0" quotePrefix="0" xfId="0">
      <alignment horizontal="center"/>
    </xf>
    <xf numFmtId="0" fontId="0" fillId="0" borderId="1" applyAlignment="1" pivotButton="0" quotePrefix="0" xfId="0">
      <alignment horizontal="center"/>
    </xf>
    <xf numFmtId="0" fontId="9" fillId="0" borderId="10" applyAlignment="1" pivotButton="0" quotePrefix="0" xfId="0">
      <alignment horizontal="center"/>
    </xf>
    <xf numFmtId="0" fontId="0" fillId="2" borderId="2" pivotButton="0" quotePrefix="0" xfId="0"/>
    <xf numFmtId="0" fontId="0" fillId="3" borderId="5" pivotButton="0" quotePrefix="0" xfId="0"/>
    <xf numFmtId="0" fontId="0" fillId="4" borderId="7" pivotButton="0" quotePrefix="0" xfId="0"/>
    <xf numFmtId="0" fontId="8" fillId="0" borderId="0" applyAlignment="1" pivotButton="0" quotePrefix="0" xfId="0">
      <alignment horizontal="center"/>
    </xf>
    <xf numFmtId="0" fontId="0" fillId="0" borderId="0" applyProtection="1" pivotButton="0" quotePrefix="0" xfId="0">
      <protection locked="0" hidden="0"/>
    </xf>
    <xf numFmtId="0" fontId="1" fillId="0" borderId="0" applyAlignment="1" applyProtection="1" pivotButton="0" quotePrefix="0" xfId="0">
      <alignment horizontal="center"/>
      <protection locked="0" hidden="0"/>
    </xf>
    <xf numFmtId="0" fontId="13" fillId="6" borderId="0" pivotButton="0" quotePrefix="0" xfId="0"/>
    <xf numFmtId="0" fontId="12" fillId="6" borderId="0" pivotButton="0" quotePrefix="0" xfId="0"/>
    <xf numFmtId="0" fontId="12" fillId="9" borderId="0" pivotButton="0" quotePrefix="0" xfId="0"/>
    <xf numFmtId="0" fontId="13" fillId="9" borderId="0" pivotButton="0" quotePrefix="0" xfId="0"/>
    <xf numFmtId="0" fontId="12" fillId="12" borderId="0" pivotButton="0" quotePrefix="0" xfId="0"/>
    <xf numFmtId="0" fontId="13" fillId="12" borderId="0" pivotButton="0" quotePrefix="0" xfId="0"/>
    <xf numFmtId="0" fontId="9" fillId="6" borderId="15" applyAlignment="1" pivotButton="0" quotePrefix="0" xfId="0">
      <alignment horizontal="center"/>
    </xf>
    <xf numFmtId="0" fontId="9" fillId="6" borderId="16" applyAlignment="1" pivotButton="0" quotePrefix="0" xfId="0">
      <alignment horizontal="center"/>
    </xf>
    <xf numFmtId="0" fontId="14" fillId="7" borderId="23" applyAlignment="1" pivotButton="0" quotePrefix="0" xfId="0">
      <alignment horizontal="center"/>
    </xf>
    <xf numFmtId="0" fontId="13" fillId="6" borderId="24" applyProtection="1" pivotButton="0" quotePrefix="0" xfId="0">
      <protection locked="0" hidden="0"/>
    </xf>
    <xf numFmtId="0" fontId="13" fillId="6" borderId="18" applyProtection="1" pivotButton="0" quotePrefix="0" xfId="0">
      <protection locked="0" hidden="0"/>
    </xf>
    <xf numFmtId="0" fontId="13" fillId="6" borderId="16" applyProtection="1" pivotButton="0" quotePrefix="0" xfId="0">
      <protection locked="0" hidden="0"/>
    </xf>
    <xf numFmtId="0" fontId="14" fillId="10" borderId="23" applyAlignment="1" pivotButton="0" quotePrefix="0" xfId="0">
      <alignment horizontal="center"/>
    </xf>
    <xf numFmtId="0" fontId="13" fillId="9" borderId="24" applyProtection="1" pivotButton="0" quotePrefix="0" xfId="0">
      <protection locked="0" hidden="0"/>
    </xf>
    <xf numFmtId="0" fontId="13" fillId="9" borderId="18" applyProtection="1" pivotButton="0" quotePrefix="0" xfId="0">
      <protection locked="0" hidden="0"/>
    </xf>
    <xf numFmtId="0" fontId="13" fillId="9" borderId="16" applyProtection="1" pivotButton="0" quotePrefix="0" xfId="0">
      <protection locked="0" hidden="0"/>
    </xf>
    <xf numFmtId="0" fontId="14" fillId="13" borderId="23" applyAlignment="1" pivotButton="0" quotePrefix="0" xfId="0">
      <alignment horizontal="center"/>
    </xf>
    <xf numFmtId="0" fontId="13" fillId="12" borderId="24" applyProtection="1" pivotButton="0" quotePrefix="0" xfId="0">
      <protection locked="0" hidden="0"/>
    </xf>
    <xf numFmtId="0" fontId="13" fillId="12" borderId="18" applyProtection="1" pivotButton="0" quotePrefix="0" xfId="0">
      <protection locked="0" hidden="0"/>
    </xf>
    <xf numFmtId="0" fontId="13" fillId="12" borderId="16" applyProtection="1" pivotButton="0" quotePrefix="0" xfId="0">
      <protection locked="0" hidden="0"/>
    </xf>
    <xf numFmtId="0" fontId="0" fillId="14" borderId="2" pivotButton="0" quotePrefix="0" xfId="0"/>
    <xf numFmtId="0" fontId="1" fillId="14" borderId="3" pivotButton="0" quotePrefix="0" xfId="0"/>
    <xf numFmtId="0" fontId="0" fillId="14" borderId="3" pivotButton="0" quotePrefix="0" xfId="0"/>
    <xf numFmtId="0" fontId="0" fillId="14" borderId="4" pivotButton="0" quotePrefix="0" xfId="0"/>
    <xf numFmtId="0" fontId="13" fillId="12" borderId="5" pivotButton="0" quotePrefix="0" xfId="0"/>
    <xf numFmtId="0" fontId="13" fillId="12" borderId="6" pivotButton="0" quotePrefix="0" xfId="0"/>
    <xf numFmtId="0" fontId="14" fillId="13" borderId="25" applyAlignment="1" pivotButton="0" quotePrefix="0" xfId="0">
      <alignment horizontal="center"/>
    </xf>
    <xf numFmtId="165" fontId="13" fillId="12" borderId="5" applyAlignment="1" pivotButton="0" quotePrefix="0" xfId="0">
      <alignment horizontal="left"/>
    </xf>
    <xf numFmtId="0" fontId="13" fillId="12" borderId="26" applyProtection="1" pivotButton="0" quotePrefix="0" xfId="0">
      <protection locked="0" hidden="0"/>
    </xf>
    <xf numFmtId="0" fontId="13" fillId="12" borderId="19" applyProtection="1" pivotButton="0" quotePrefix="0" xfId="0">
      <protection locked="0" hidden="0"/>
    </xf>
    <xf numFmtId="0" fontId="13" fillId="12" borderId="27" applyProtection="1" pivotButton="0" quotePrefix="0" xfId="0">
      <protection locked="0" hidden="0"/>
    </xf>
    <xf numFmtId="165" fontId="13" fillId="12" borderId="9" applyAlignment="1" pivotButton="0" quotePrefix="0" xfId="0">
      <alignment horizontal="left"/>
    </xf>
    <xf numFmtId="0" fontId="13" fillId="12" borderId="21" applyProtection="1" pivotButton="0" quotePrefix="0" xfId="0">
      <protection locked="0" hidden="0"/>
    </xf>
    <xf numFmtId="0" fontId="13" fillId="12" borderId="22" applyProtection="1" pivotButton="0" quotePrefix="0" xfId="0">
      <protection locked="0" hidden="0"/>
    </xf>
    <xf numFmtId="0" fontId="0" fillId="11" borderId="2" pivotButton="0" quotePrefix="0" xfId="0"/>
    <xf numFmtId="0" fontId="1" fillId="11" borderId="3" pivotButton="0" quotePrefix="0" xfId="0"/>
    <xf numFmtId="0" fontId="0" fillId="11" borderId="3" pivotButton="0" quotePrefix="0" xfId="0"/>
    <xf numFmtId="0" fontId="0" fillId="11" borderId="4" pivotButton="0" quotePrefix="0" xfId="0"/>
    <xf numFmtId="0" fontId="13" fillId="9" borderId="5" pivotButton="0" quotePrefix="0" xfId="0"/>
    <xf numFmtId="0" fontId="13" fillId="9" borderId="6" pivotButton="0" quotePrefix="0" xfId="0"/>
    <xf numFmtId="0" fontId="14" fillId="10" borderId="25" applyAlignment="1" pivotButton="0" quotePrefix="0" xfId="0">
      <alignment horizontal="center"/>
    </xf>
    <xf numFmtId="165" fontId="13" fillId="9" borderId="5" applyAlignment="1" pivotButton="0" quotePrefix="0" xfId="0">
      <alignment horizontal="left"/>
    </xf>
    <xf numFmtId="0" fontId="13" fillId="9" borderId="26" applyProtection="1" pivotButton="0" quotePrefix="0" xfId="0">
      <protection locked="0" hidden="0"/>
    </xf>
    <xf numFmtId="0" fontId="13" fillId="9" borderId="19" applyProtection="1" pivotButton="0" quotePrefix="0" xfId="0">
      <protection locked="0" hidden="0"/>
    </xf>
    <xf numFmtId="0" fontId="13" fillId="9" borderId="27" applyProtection="1" pivotButton="0" quotePrefix="0" xfId="0">
      <protection locked="0" hidden="0"/>
    </xf>
    <xf numFmtId="165" fontId="13" fillId="9" borderId="9" applyAlignment="1" pivotButton="0" quotePrefix="0" xfId="0">
      <alignment horizontal="left"/>
    </xf>
    <xf numFmtId="0" fontId="13" fillId="9" borderId="21" applyProtection="1" pivotButton="0" quotePrefix="0" xfId="0">
      <protection locked="0" hidden="0"/>
    </xf>
    <xf numFmtId="0" fontId="13" fillId="9" borderId="22" applyProtection="1" pivotButton="0" quotePrefix="0" xfId="0">
      <protection locked="0" hidden="0"/>
    </xf>
    <xf numFmtId="0" fontId="0" fillId="8" borderId="2" pivotButton="0" quotePrefix="0" xfId="0"/>
    <xf numFmtId="0" fontId="1" fillId="8" borderId="3" pivotButton="0" quotePrefix="0" xfId="0"/>
    <xf numFmtId="0" fontId="0" fillId="8" borderId="3" pivotButton="0" quotePrefix="0" xfId="0"/>
    <xf numFmtId="0" fontId="0" fillId="8" borderId="4" pivotButton="0" quotePrefix="0" xfId="0"/>
    <xf numFmtId="0" fontId="13" fillId="6" borderId="5" pivotButton="0" quotePrefix="0" xfId="0"/>
    <xf numFmtId="0" fontId="13" fillId="6" borderId="6" pivotButton="0" quotePrefix="0" xfId="0"/>
    <xf numFmtId="0" fontId="14" fillId="7" borderId="25" applyAlignment="1" pivotButton="0" quotePrefix="0" xfId="0">
      <alignment horizontal="center"/>
    </xf>
    <xf numFmtId="165" fontId="13" fillId="6" borderId="5" applyAlignment="1" pivotButton="0" quotePrefix="0" xfId="0">
      <alignment horizontal="left"/>
    </xf>
    <xf numFmtId="0" fontId="13" fillId="6" borderId="26" applyProtection="1" pivotButton="0" quotePrefix="0" xfId="0">
      <protection locked="0" hidden="0"/>
    </xf>
    <xf numFmtId="0" fontId="13" fillId="6" borderId="19" applyProtection="1" pivotButton="0" quotePrefix="0" xfId="0">
      <protection locked="0" hidden="0"/>
    </xf>
    <xf numFmtId="0" fontId="13" fillId="6" borderId="27" applyProtection="1" pivotButton="0" quotePrefix="0" xfId="0">
      <protection locked="0" hidden="0"/>
    </xf>
    <xf numFmtId="165" fontId="13" fillId="6" borderId="9" applyAlignment="1" pivotButton="0" quotePrefix="0" xfId="0">
      <alignment horizontal="left"/>
    </xf>
    <xf numFmtId="0" fontId="13" fillId="6" borderId="21" applyProtection="1" pivotButton="0" quotePrefix="0" xfId="0">
      <protection locked="0" hidden="0"/>
    </xf>
    <xf numFmtId="0" fontId="13" fillId="6" borderId="22" applyProtection="1" pivotButton="0" quotePrefix="0" xfId="0">
      <protection locked="0" hidden="0"/>
    </xf>
    <xf numFmtId="0" fontId="9" fillId="6" borderId="27" applyAlignment="1" pivotButton="0" quotePrefix="0" xfId="0">
      <alignment horizontal="center"/>
    </xf>
    <xf numFmtId="0" fontId="13" fillId="0" borderId="0" pivotButton="0" quotePrefix="0" xfId="0"/>
    <xf numFmtId="0" fontId="9" fillId="9" borderId="15" applyAlignment="1" pivotButton="0" quotePrefix="0" xfId="0">
      <alignment horizontal="center"/>
    </xf>
    <xf numFmtId="0" fontId="9" fillId="9" borderId="16" applyAlignment="1" pivotButton="0" quotePrefix="0" xfId="0">
      <alignment horizontal="center"/>
    </xf>
    <xf numFmtId="0" fontId="9" fillId="9" borderId="27" applyAlignment="1" pivotButton="0" quotePrefix="0" xfId="0">
      <alignment horizontal="center"/>
    </xf>
    <xf numFmtId="0" fontId="9" fillId="12" borderId="15" applyAlignment="1" pivotButton="0" quotePrefix="0" xfId="0">
      <alignment horizontal="center"/>
    </xf>
    <xf numFmtId="0" fontId="9" fillId="12" borderId="16" applyAlignment="1" pivotButton="0" quotePrefix="0" xfId="0">
      <alignment horizontal="center"/>
    </xf>
    <xf numFmtId="0" fontId="9" fillId="12" borderId="27" applyAlignment="1" pivotButton="0" quotePrefix="0" xfId="0">
      <alignment horizontal="center"/>
    </xf>
    <xf numFmtId="0" fontId="9" fillId="15" borderId="15" applyAlignment="1" pivotButton="0" quotePrefix="0" xfId="0">
      <alignment horizontal="center"/>
    </xf>
    <xf numFmtId="0" fontId="9" fillId="15" borderId="16" applyAlignment="1" pivotButton="0" quotePrefix="0" xfId="0">
      <alignment horizontal="center"/>
    </xf>
    <xf numFmtId="0" fontId="9" fillId="15" borderId="27" applyAlignment="1" pivotButton="0" quotePrefix="0" xfId="0">
      <alignment horizontal="center"/>
    </xf>
    <xf numFmtId="0" fontId="0" fillId="6" borderId="17" applyProtection="1" pivotButton="0" quotePrefix="0" xfId="0">
      <protection locked="0" hidden="0"/>
    </xf>
    <xf numFmtId="0" fontId="0" fillId="6" borderId="18" applyAlignment="1" applyProtection="1" pivotButton="0" quotePrefix="0" xfId="0">
      <alignment horizontal="left"/>
      <protection locked="0" hidden="0"/>
    </xf>
    <xf numFmtId="0" fontId="0" fillId="6" borderId="6" applyAlignment="1" applyProtection="1" pivotButton="0" quotePrefix="0" xfId="0">
      <alignment horizontal="left"/>
      <protection locked="0" hidden="0"/>
    </xf>
    <xf numFmtId="0" fontId="0" fillId="9" borderId="17" applyProtection="1" pivotButton="0" quotePrefix="0" xfId="0">
      <protection locked="0" hidden="0"/>
    </xf>
    <xf numFmtId="0" fontId="0" fillId="9" borderId="18" applyAlignment="1" applyProtection="1" pivotButton="0" quotePrefix="0" xfId="0">
      <alignment horizontal="left"/>
      <protection locked="0" hidden="0"/>
    </xf>
    <xf numFmtId="0" fontId="0" fillId="9" borderId="6" applyAlignment="1" applyProtection="1" pivotButton="0" quotePrefix="0" xfId="0">
      <alignment horizontal="left"/>
      <protection locked="0" hidden="0"/>
    </xf>
    <xf numFmtId="0" fontId="0" fillId="12" borderId="17" applyProtection="1" pivotButton="0" quotePrefix="0" xfId="0">
      <protection locked="0" hidden="0"/>
    </xf>
    <xf numFmtId="0" fontId="0" fillId="12" borderId="18" applyAlignment="1" applyProtection="1" pivotButton="0" quotePrefix="0" xfId="0">
      <alignment horizontal="left"/>
      <protection locked="0" hidden="0"/>
    </xf>
    <xf numFmtId="0" fontId="0" fillId="12" borderId="6" applyAlignment="1" applyProtection="1" pivotButton="0" quotePrefix="0" xfId="0">
      <alignment horizontal="left"/>
      <protection locked="0" hidden="0"/>
    </xf>
    <xf numFmtId="0" fontId="0" fillId="15" borderId="17" applyProtection="1" pivotButton="0" quotePrefix="0" xfId="0">
      <protection locked="0" hidden="0"/>
    </xf>
    <xf numFmtId="0" fontId="0" fillId="15" borderId="18" applyAlignment="1" applyProtection="1" pivotButton="0" quotePrefix="0" xfId="0">
      <alignment horizontal="left"/>
      <protection locked="0" hidden="0"/>
    </xf>
    <xf numFmtId="0" fontId="0" fillId="15" borderId="6" applyAlignment="1" applyProtection="1" pivotButton="0" quotePrefix="0" xfId="0">
      <alignment horizontal="left"/>
      <protection locked="0" hidden="0"/>
    </xf>
    <xf numFmtId="0" fontId="0" fillId="6" borderId="20" applyProtection="1" pivotButton="0" quotePrefix="0" xfId="0">
      <protection locked="0" hidden="0"/>
    </xf>
    <xf numFmtId="0" fontId="0" fillId="6" borderId="21" applyAlignment="1" applyProtection="1" pivotButton="0" quotePrefix="0" xfId="0">
      <alignment horizontal="left"/>
      <protection locked="0" hidden="0"/>
    </xf>
    <xf numFmtId="0" fontId="0" fillId="6" borderId="11" applyAlignment="1" applyProtection="1" pivotButton="0" quotePrefix="0" xfId="0">
      <alignment horizontal="left"/>
      <protection locked="0" hidden="0"/>
    </xf>
    <xf numFmtId="0" fontId="0" fillId="9" borderId="20" applyProtection="1" pivotButton="0" quotePrefix="0" xfId="0">
      <protection locked="0" hidden="0"/>
    </xf>
    <xf numFmtId="0" fontId="0" fillId="9" borderId="21" applyAlignment="1" applyProtection="1" pivotButton="0" quotePrefix="0" xfId="0">
      <alignment horizontal="left"/>
      <protection locked="0" hidden="0"/>
    </xf>
    <xf numFmtId="0" fontId="0" fillId="9" borderId="11" applyAlignment="1" applyProtection="1" pivotButton="0" quotePrefix="0" xfId="0">
      <alignment horizontal="left"/>
      <protection locked="0" hidden="0"/>
    </xf>
    <xf numFmtId="0" fontId="0" fillId="12" borderId="20" applyProtection="1" pivotButton="0" quotePrefix="0" xfId="0">
      <protection locked="0" hidden="0"/>
    </xf>
    <xf numFmtId="0" fontId="0" fillId="12" borderId="21" applyAlignment="1" applyProtection="1" pivotButton="0" quotePrefix="0" xfId="0">
      <alignment horizontal="left"/>
      <protection locked="0" hidden="0"/>
    </xf>
    <xf numFmtId="0" fontId="0" fillId="12" borderId="11" applyAlignment="1" applyProtection="1" pivotButton="0" quotePrefix="0" xfId="0">
      <alignment horizontal="left"/>
      <protection locked="0" hidden="0"/>
    </xf>
    <xf numFmtId="0" fontId="0" fillId="15" borderId="20" applyProtection="1" pivotButton="0" quotePrefix="0" xfId="0">
      <protection locked="0" hidden="0"/>
    </xf>
    <xf numFmtId="0" fontId="0" fillId="15" borderId="21" applyAlignment="1" applyProtection="1" pivotButton="0" quotePrefix="0" xfId="0">
      <alignment horizontal="left"/>
      <protection locked="0" hidden="0"/>
    </xf>
    <xf numFmtId="0" fontId="0" fillId="15" borderId="11" applyAlignment="1" applyProtection="1" pivotButton="0" quotePrefix="0" xfId="0">
      <alignment horizontal="left"/>
      <protection locked="0" hidden="0"/>
    </xf>
    <xf numFmtId="0" fontId="15" fillId="5" borderId="0" applyAlignment="1" pivotButton="0" quotePrefix="0" xfId="0">
      <alignment vertical="center"/>
    </xf>
    <xf numFmtId="0" fontId="15" fillId="5" borderId="0" pivotButton="0" quotePrefix="0" xfId="0"/>
    <xf numFmtId="0" fontId="0" fillId="5" borderId="0" pivotButton="0" quotePrefix="0" xfId="0"/>
    <xf numFmtId="0" fontId="16" fillId="0" borderId="0" applyAlignment="1" pivotButton="0" quotePrefix="0" xfId="0">
      <alignment vertical="center"/>
    </xf>
    <xf numFmtId="0" fontId="17" fillId="0" borderId="0" pivotButton="0" quotePrefix="0" xfId="0"/>
    <xf numFmtId="0" fontId="15" fillId="0" borderId="0" pivotButton="0" quotePrefix="0" xfId="0"/>
    <xf numFmtId="0" fontId="18" fillId="0" borderId="0" pivotButton="0" quotePrefix="0" xfId="0"/>
    <xf numFmtId="0" fontId="19" fillId="0" borderId="0" applyAlignment="1" pivotButton="0" quotePrefix="0" xfId="0">
      <alignment vertical="center"/>
    </xf>
    <xf numFmtId="0" fontId="20" fillId="17" borderId="0" pivotButton="0" quotePrefix="0" xfId="0"/>
    <xf numFmtId="0" fontId="0" fillId="17" borderId="0" pivotButton="0" quotePrefix="0" xfId="0"/>
    <xf numFmtId="0" fontId="20" fillId="0" borderId="0" pivotButton="0" quotePrefix="0" xfId="0"/>
    <xf numFmtId="0" fontId="0" fillId="0" borderId="0" pivotButton="0" quotePrefix="1" xfId="0"/>
    <xf numFmtId="0" fontId="9" fillId="0" borderId="0" applyAlignment="1" pivotButton="0" quotePrefix="0" xfId="0">
      <alignment vertical="top"/>
    </xf>
    <xf numFmtId="0" fontId="0" fillId="0" borderId="0" applyAlignment="1" pivotButton="0" quotePrefix="0" xfId="0">
      <alignment vertical="center"/>
    </xf>
    <xf numFmtId="0" fontId="9" fillId="0" borderId="0" pivotButton="0" quotePrefix="0" xfId="0"/>
    <xf numFmtId="0" fontId="0" fillId="16" borderId="2" pivotButton="0" quotePrefix="0" xfId="0"/>
    <xf numFmtId="0" fontId="1" fillId="16" borderId="3" pivotButton="0" quotePrefix="0" xfId="0"/>
    <xf numFmtId="0" fontId="0" fillId="16" borderId="3" pivotButton="0" quotePrefix="0" xfId="0"/>
    <xf numFmtId="0" fontId="0" fillId="16" borderId="4" pivotButton="0" quotePrefix="0" xfId="0"/>
    <xf numFmtId="0" fontId="13" fillId="15" borderId="5" pivotButton="0" quotePrefix="0" xfId="0"/>
    <xf numFmtId="0" fontId="12" fillId="15" borderId="0" pivotButton="0" quotePrefix="0" xfId="0"/>
    <xf numFmtId="0" fontId="13" fillId="15" borderId="0" pivotButton="0" quotePrefix="0" xfId="0"/>
    <xf numFmtId="0" fontId="13" fillId="15" borderId="6" pivotButton="0" quotePrefix="0" xfId="0"/>
    <xf numFmtId="0" fontId="14" fillId="18" borderId="23" applyAlignment="1" pivotButton="0" quotePrefix="0" xfId="0">
      <alignment horizontal="center"/>
    </xf>
    <xf numFmtId="0" fontId="14" fillId="18" borderId="25" applyAlignment="1" pivotButton="0" quotePrefix="0" xfId="0">
      <alignment horizontal="center"/>
    </xf>
    <xf numFmtId="165" fontId="13" fillId="15" borderId="5" applyAlignment="1" pivotButton="0" quotePrefix="0" xfId="0">
      <alignment horizontal="left"/>
    </xf>
    <xf numFmtId="0" fontId="13" fillId="15" borderId="24" applyProtection="1" pivotButton="0" quotePrefix="0" xfId="0">
      <protection locked="0" hidden="0"/>
    </xf>
    <xf numFmtId="0" fontId="13" fillId="15" borderId="26" applyProtection="1" pivotButton="0" quotePrefix="0" xfId="0">
      <protection locked="0" hidden="0"/>
    </xf>
    <xf numFmtId="0" fontId="13" fillId="15" borderId="18" applyProtection="1" pivotButton="0" quotePrefix="0" xfId="0">
      <protection locked="0" hidden="0"/>
    </xf>
    <xf numFmtId="0" fontId="13" fillId="15" borderId="19" applyProtection="1" pivotButton="0" quotePrefix="0" xfId="0">
      <protection locked="0" hidden="0"/>
    </xf>
    <xf numFmtId="0" fontId="13" fillId="15" borderId="16" applyProtection="1" pivotButton="0" quotePrefix="0" xfId="0">
      <protection locked="0" hidden="0"/>
    </xf>
    <xf numFmtId="0" fontId="13" fillId="15" borderId="27" applyProtection="1" pivotButton="0" quotePrefix="0" xfId="0">
      <protection locked="0" hidden="0"/>
    </xf>
    <xf numFmtId="165" fontId="13" fillId="15" borderId="9" applyAlignment="1" pivotButton="0" quotePrefix="0" xfId="0">
      <alignment horizontal="left"/>
    </xf>
    <xf numFmtId="0" fontId="13" fillId="15" borderId="21" applyProtection="1" pivotButton="0" quotePrefix="0" xfId="0">
      <protection locked="0" hidden="0"/>
    </xf>
    <xf numFmtId="0" fontId="13" fillId="15" borderId="22" applyProtection="1" pivotButton="0" quotePrefix="0" xfId="0">
      <protection locked="0" hidden="0"/>
    </xf>
    <xf numFmtId="0" fontId="16" fillId="0" borderId="0" pivotButton="0" quotePrefix="0" xfId="0"/>
    <xf numFmtId="0" fontId="0" fillId="6" borderId="0" applyProtection="1" pivotButton="0" quotePrefix="0" xfId="0">
      <protection locked="0" hidden="0"/>
    </xf>
    <xf numFmtId="0" fontId="0" fillId="12" borderId="0" applyProtection="1" pivotButton="0" quotePrefix="0" xfId="0">
      <protection locked="0" hidden="0"/>
    </xf>
    <xf numFmtId="0" fontId="0" fillId="9" borderId="0" applyProtection="1" pivotButton="0" quotePrefix="0" xfId="0">
      <protection locked="0" hidden="0"/>
    </xf>
    <xf numFmtId="0" fontId="0" fillId="15" borderId="0" applyProtection="1" pivotButton="0" quotePrefix="0" xfId="0">
      <protection locked="0" hidden="0"/>
    </xf>
    <xf numFmtId="0" fontId="10" fillId="19" borderId="0" pivotButton="0" quotePrefix="0" xfId="0"/>
    <xf numFmtId="0" fontId="10" fillId="0" borderId="0" pivotButton="0" quotePrefix="0" xfId="0"/>
    <xf numFmtId="0" fontId="9" fillId="19" borderId="0" pivotButton="0" quotePrefix="0" xfId="0"/>
    <xf numFmtId="0" fontId="22" fillId="8" borderId="0" pivotButton="0" quotePrefix="0" xfId="0"/>
    <xf numFmtId="0" fontId="22" fillId="0" borderId="0" pivotButton="0" quotePrefix="0" xfId="0"/>
    <xf numFmtId="0" fontId="22" fillId="14" borderId="0" pivotButton="0" quotePrefix="0" xfId="0"/>
    <xf numFmtId="165" fontId="21" fillId="6" borderId="0" applyAlignment="1" pivotButton="0" quotePrefix="0" xfId="0">
      <alignment horizontal="left"/>
    </xf>
    <xf numFmtId="165" fontId="21" fillId="12" borderId="0" applyAlignment="1" pivotButton="0" quotePrefix="0" xfId="0">
      <alignment horizontal="left"/>
    </xf>
    <xf numFmtId="165" fontId="21" fillId="9" borderId="0" applyAlignment="1" pivotButton="0" quotePrefix="0" xfId="0">
      <alignment horizontal="left"/>
    </xf>
    <xf numFmtId="165" fontId="21" fillId="15" borderId="0" applyAlignment="1" pivotButton="0" quotePrefix="0" xfId="0">
      <alignment horizontal="left"/>
    </xf>
    <xf numFmtId="0" fontId="22" fillId="0" borderId="0" applyProtection="1" pivotButton="0" quotePrefix="0" xfId="0">
      <protection locked="0" hidden="0"/>
    </xf>
    <xf numFmtId="0" fontId="22" fillId="11" borderId="0" applyProtection="1" pivotButton="0" quotePrefix="0" xfId="0">
      <protection locked="0" hidden="0"/>
    </xf>
    <xf numFmtId="0" fontId="22" fillId="16" borderId="0" applyProtection="1" pivotButton="0" quotePrefix="0" xfId="0">
      <protection locked="0" hidden="0"/>
    </xf>
    <xf numFmtId="165" fontId="0" fillId="0" borderId="0" applyAlignment="1" applyProtection="1" pivotButton="0" quotePrefix="0" xfId="0">
      <alignment horizontal="left"/>
      <protection locked="0" hidden="0"/>
    </xf>
    <xf numFmtId="166" fontId="0" fillId="0" borderId="0" applyProtection="1" pivotButton="0" quotePrefix="0" xfId="0">
      <protection locked="0" hidden="0"/>
    </xf>
    <xf numFmtId="0" fontId="15" fillId="19" borderId="0" pivotButton="0" quotePrefix="0" xfId="0"/>
    <xf numFmtId="165" fontId="15" fillId="19" borderId="0" applyAlignment="1" pivotButton="0" quotePrefix="0" xfId="0">
      <alignment horizontal="left"/>
    </xf>
    <xf numFmtId="0" fontId="12" fillId="14" borderId="0" applyAlignment="1" pivotButton="0" quotePrefix="0" xfId="0">
      <alignment horizontal="left" indent="1"/>
    </xf>
    <xf numFmtId="0" fontId="12" fillId="8" borderId="0" applyAlignment="1" pivotButton="0" quotePrefix="0" xfId="0">
      <alignment horizontal="left" indent="1"/>
    </xf>
    <xf numFmtId="0" fontId="12" fillId="16" borderId="0" applyAlignment="1" pivotButton="0" quotePrefix="0" xfId="0">
      <alignment horizontal="left" indent="1"/>
    </xf>
    <xf numFmtId="0" fontId="12" fillId="11" borderId="0" applyAlignment="1" pivotButton="0" quotePrefix="0" xfId="0">
      <alignment horizontal="left" indent="1"/>
    </xf>
    <xf numFmtId="3" fontId="0" fillId="0" borderId="0" pivotButton="0" quotePrefix="0" xfId="0"/>
    <xf numFmtId="16" fontId="0" fillId="0" borderId="0" applyAlignment="1" applyProtection="1" pivotButton="0" quotePrefix="0" xfId="0">
      <alignment horizontal="center"/>
      <protection locked="0" hidden="0"/>
    </xf>
    <xf numFmtId="0" fontId="0" fillId="0" borderId="0" applyAlignment="1" applyProtection="1" pivotButton="0" quotePrefix="0" xfId="0">
      <alignment horizontal="left"/>
      <protection locked="0" hidden="0"/>
    </xf>
    <xf numFmtId="0" fontId="0" fillId="0" borderId="0" applyAlignment="1" applyProtection="1" pivotButton="0" quotePrefix="0" xfId="0">
      <alignment horizontal="center"/>
      <protection locked="0" hidden="0"/>
    </xf>
    <xf numFmtId="14" fontId="0" fillId="0" borderId="0" applyAlignment="1" applyProtection="1" pivotButton="0" quotePrefix="0" xfId="0">
      <alignment horizontal="center"/>
      <protection locked="0" hidden="0"/>
    </xf>
    <xf numFmtId="164" fontId="0" fillId="0" borderId="0" applyAlignment="1" applyProtection="1" pivotButton="0" quotePrefix="0" xfId="0">
      <alignment horizontal="right"/>
      <protection locked="0" hidden="0"/>
    </xf>
    <xf numFmtId="0" fontId="12" fillId="14" borderId="12" applyAlignment="1" applyProtection="1" pivotButton="0" quotePrefix="0" xfId="0">
      <alignment horizontal="center"/>
      <protection locked="0" hidden="0"/>
    </xf>
    <xf numFmtId="0" fontId="12" fillId="14" borderId="13" applyAlignment="1" applyProtection="1" pivotButton="0" quotePrefix="0" xfId="0">
      <alignment horizontal="center"/>
      <protection locked="0" hidden="0"/>
    </xf>
    <xf numFmtId="0" fontId="12" fillId="14" borderId="14" applyAlignment="1" applyProtection="1" pivotButton="0" quotePrefix="0" xfId="0">
      <alignment horizontal="center"/>
      <protection locked="0" hidden="0"/>
    </xf>
    <xf numFmtId="0" fontId="12" fillId="16" borderId="12" applyAlignment="1" applyProtection="1" pivotButton="0" quotePrefix="0" xfId="0">
      <alignment horizontal="center"/>
      <protection locked="0" hidden="0"/>
    </xf>
    <xf numFmtId="0" fontId="12" fillId="16" borderId="13" applyAlignment="1" applyProtection="1" pivotButton="0" quotePrefix="0" xfId="0">
      <alignment horizontal="center"/>
      <protection locked="0" hidden="0"/>
    </xf>
    <xf numFmtId="0" fontId="12" fillId="16" borderId="14" applyAlignment="1" applyProtection="1" pivotButton="0" quotePrefix="0" xfId="0">
      <alignment horizontal="center"/>
      <protection locked="0" hidden="0"/>
    </xf>
    <xf numFmtId="0" fontId="12" fillId="8" borderId="12" applyAlignment="1" applyProtection="1" pivotButton="0" quotePrefix="0" xfId="0">
      <alignment horizontal="center"/>
      <protection locked="0" hidden="0"/>
    </xf>
    <xf numFmtId="0" fontId="12" fillId="8" borderId="13" applyAlignment="1" applyProtection="1" pivotButton="0" quotePrefix="0" xfId="0">
      <alignment horizontal="center"/>
      <protection locked="0" hidden="0"/>
    </xf>
    <xf numFmtId="0" fontId="12" fillId="8" borderId="14" applyAlignment="1" applyProtection="1" pivotButton="0" quotePrefix="0" xfId="0">
      <alignment horizontal="center"/>
      <protection locked="0" hidden="0"/>
    </xf>
    <xf numFmtId="0" fontId="12" fillId="11" borderId="12" applyAlignment="1" applyProtection="1" pivotButton="0" quotePrefix="0" xfId="0">
      <alignment horizontal="center"/>
      <protection locked="0" hidden="0"/>
    </xf>
    <xf numFmtId="0" fontId="12" fillId="11" borderId="13" applyAlignment="1" applyProtection="1" pivotButton="0" quotePrefix="0" xfId="0">
      <alignment horizontal="center"/>
      <protection locked="0" hidden="0"/>
    </xf>
    <xf numFmtId="0" fontId="12" fillId="11" borderId="14" applyAlignment="1" applyProtection="1" pivotButton="0" quotePrefix="0" xfId="0">
      <alignment horizontal="center"/>
      <protection locked="0" hidden="0"/>
    </xf>
    <xf numFmtId="166" fontId="0" fillId="0" borderId="0" applyProtection="1" pivotButton="0" quotePrefix="0" xfId="0">
      <protection locked="0" hidden="0"/>
    </xf>
    <xf numFmtId="164" fontId="0" fillId="0" borderId="4" applyAlignment="1" pivotButton="0" quotePrefix="0" xfId="0">
      <alignment horizontal="right"/>
    </xf>
    <xf numFmtId="164" fontId="0" fillId="0" borderId="6" applyAlignment="1" pivotButton="0" quotePrefix="0" xfId="0">
      <alignment horizontal="right"/>
    </xf>
    <xf numFmtId="164" fontId="0" fillId="0" borderId="8" applyAlignment="1" pivotButton="0" quotePrefix="0" xfId="0">
      <alignment horizontal="right"/>
    </xf>
    <xf numFmtId="164" fontId="9" fillId="0" borderId="11" pivotButton="0" quotePrefix="0" xfId="0"/>
    <xf numFmtId="164" fontId="0" fillId="0" borderId="0" applyAlignment="1" applyProtection="1" pivotButton="0" quotePrefix="0" xfId="0">
      <alignment horizontal="right"/>
      <protection locked="0" hidden="0"/>
    </xf>
    <xf numFmtId="0" fontId="12" fillId="8" borderId="28" applyAlignment="1" applyProtection="1" pivotButton="0" quotePrefix="0" xfId="0">
      <alignment horizontal="center"/>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0" fontId="12" fillId="11" borderId="28" applyAlignment="1" applyProtection="1" pivotButton="0" quotePrefix="0" xfId="0">
      <alignment horizontal="center"/>
      <protection locked="0" hidden="0"/>
    </xf>
    <xf numFmtId="0" fontId="12" fillId="14" borderId="28" applyAlignment="1" applyProtection="1" pivotButton="0" quotePrefix="0" xfId="0">
      <alignment horizontal="center"/>
      <protection locked="0" hidden="0"/>
    </xf>
    <xf numFmtId="0" fontId="12" fillId="16" borderId="28" applyAlignment="1" applyProtection="1" pivotButton="0" quotePrefix="0" xfId="0">
      <alignment horizontal="center"/>
      <protection locked="0" hidden="0"/>
    </xf>
  </cellXfs>
  <cellStyles count="15">
    <cellStyle name="Normal" xfId="0" builtinId="0"/>
    <cellStyle name="Normal 2" xfId="1"/>
    <cellStyle name="Normal 3" xfId="2"/>
    <cellStyle name="Normal 2 2" xfId="3"/>
    <cellStyle name="Normal 4" xfId="4"/>
    <cellStyle name="Normal 2 4" xfId="5"/>
    <cellStyle name="Normal 3 2" xfId="6"/>
    <cellStyle name="Currency 2" xfId="7"/>
    <cellStyle name="Normal 2 2 2" xfId="8"/>
    <cellStyle name="Normal 4 2" xfId="9"/>
    <cellStyle name="Currency 3" xfId="10"/>
    <cellStyle name="Normal 5" xfId="11"/>
    <cellStyle name="Normal 2 3" xfId="12"/>
    <cellStyle name="Currency 4" xfId="13"/>
    <cellStyle name="Comma 2" xfId="14"/>
  </cellStyles>
  <dxfs count="39">
    <dxf>
      <fill>
        <patternFill>
          <bgColor theme="7" tint="0.5999633777886288"/>
        </patternFill>
      </fill>
    </dxf>
    <dxf>
      <fill>
        <patternFill>
          <bgColor theme="9" tint="0.5999633777886288"/>
        </patternFill>
      </fill>
    </dxf>
    <dxf>
      <fill>
        <patternFill>
          <bgColor theme="5" tint="0.5999633777886288"/>
        </patternFill>
      </fill>
    </dxf>
    <dxf>
      <fill>
        <patternFill>
          <bgColor theme="7" tint="0.5999633777886288"/>
        </patternFill>
      </fill>
    </dxf>
    <dxf>
      <fill>
        <patternFill>
          <bgColor theme="9" tint="0.5999633777886288"/>
        </patternFill>
      </fill>
    </dxf>
    <dxf>
      <fill>
        <patternFill>
          <bgColor theme="5" tint="0.5999633777886288"/>
        </patternFill>
      </fill>
    </dxf>
    <dxf>
      <fill>
        <patternFill>
          <bgColor theme="7" tint="0.5999633777886288"/>
        </patternFill>
      </fill>
    </dxf>
    <dxf>
      <fill>
        <patternFill>
          <bgColor theme="9" tint="0.5999633777886288"/>
        </patternFill>
      </fill>
    </dxf>
    <dxf>
      <fill>
        <patternFill>
          <bgColor theme="5" tint="0.5999633777886288"/>
        </patternFill>
      </fill>
    </dxf>
    <dxf>
      <fill>
        <patternFill>
          <bgColor theme="7" tint="0.5999633777886288"/>
        </patternFill>
      </fill>
    </dxf>
    <dxf>
      <fill>
        <patternFill>
          <bgColor theme="9" tint="0.5999633777886288"/>
        </patternFill>
      </fill>
    </dxf>
    <dxf>
      <fill>
        <patternFill>
          <bgColor theme="5" tint="0.5999633777886288"/>
        </patternFill>
      </fill>
    </dxf>
    <dxf>
      <fill>
        <patternFill>
          <bgColor theme="7" tint="0.5999633777886288"/>
        </patternFill>
      </fill>
    </dxf>
    <dxf>
      <fill>
        <patternFill>
          <bgColor theme="9" tint="0.5999633777886288"/>
        </patternFill>
      </fill>
    </dxf>
    <dxf>
      <fill>
        <patternFill>
          <bgColor theme="5" tint="0.5999633777886288"/>
        </patternFill>
      </fill>
    </dxf>
    <dxf>
      <fill>
        <patternFill>
          <bgColor theme="7" tint="0.5999633777886288"/>
        </patternFill>
      </fill>
    </dxf>
    <dxf>
      <fill>
        <patternFill>
          <bgColor theme="9" tint="0.5999633777886288"/>
        </patternFill>
      </fill>
    </dxf>
    <dxf>
      <fill>
        <patternFill>
          <bgColor theme="5" tint="0.5999633777886288"/>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ont>
        <name val="Calibri"/>
        <family val="2"/>
        <b val="1"/>
        <strike val="0"/>
        <outline val="0"/>
        <shadow val="0"/>
        <condense val="0"/>
        <color theme="1"/>
        <extend val="0"/>
        <sz val="11"/>
        <u val="single"/>
        <vertAlign val="baseline"/>
        <scheme val="minor"/>
      </font>
      <fill>
        <patternFill>
          <fgColor indexed="64"/>
          <bgColor auto="1"/>
        </patternFill>
      </fill>
      <alignment horizontal="center" vertical="bottom"/>
    </dxf>
    <dxf>
      <font>
        <name val="Calibri"/>
        <family val="2"/>
        <strike val="0"/>
        <outline val="0"/>
        <shadow val="0"/>
        <condense val="0"/>
        <color theme="1"/>
        <extend val="0"/>
        <sz val="11"/>
        <vertAlign val="baseline"/>
        <scheme val="minor"/>
      </font>
      <numFmt numFmtId="10" formatCode="&quot;$&quot;#,##0_);[Red]\(&quot;$&quot;#,##0\)"/>
      <alignment horizontal="right" vertical="bottom"/>
      <protection locked="0" hidden="0"/>
    </dxf>
    <dxf>
      <font>
        <name val="Calibri"/>
        <family val="2"/>
        <strike val="0"/>
        <outline val="0"/>
        <shadow val="0"/>
        <color theme="1"/>
        <sz val="11"/>
        <vertAlign val="baseline"/>
        <scheme val="minor"/>
      </font>
      <numFmt numFmtId="19" formatCode="m/d/yyyy"/>
      <alignment horizontal="center" vertical="bottom"/>
      <protection locked="0" hidden="0"/>
    </dxf>
    <dxf>
      <font>
        <name val="Calibri"/>
        <family val="2"/>
        <strike val="0"/>
        <outline val="0"/>
        <shadow val="0"/>
        <condense val="0"/>
        <color theme="1"/>
        <extend val="0"/>
        <sz val="11"/>
        <vertAlign val="baseline"/>
        <scheme val="minor"/>
      </font>
      <alignment horizontal="center" vertical="bottom"/>
      <protection locked="0" hidden="0"/>
    </dxf>
    <dxf>
      <font>
        <name val="Calibri"/>
        <family val="2"/>
        <strike val="0"/>
        <outline val="0"/>
        <shadow val="0"/>
        <color theme="1"/>
        <sz val="11"/>
        <vertAlign val="baseline"/>
        <scheme val="minor"/>
      </font>
      <alignment horizontal="left" vertical="bottom"/>
      <protection locked="0" hidden="0"/>
    </dxf>
    <dxf>
      <font>
        <name val="Calibri"/>
        <family val="2"/>
        <strike val="0"/>
        <outline val="0"/>
        <shadow val="0"/>
        <condense val="0"/>
        <color theme="1"/>
        <extend val="0"/>
        <sz val="11"/>
        <vertAlign val="baseline"/>
        <scheme val="minor"/>
      </font>
      <alignment horizontal="left" vertical="bottom"/>
      <protection locked="0" hidden="0"/>
    </dxf>
    <dxf>
      <font>
        <name val="Calibri"/>
        <family val="2"/>
        <strike val="0"/>
        <outline val="0"/>
        <shadow val="0"/>
        <color theme="1"/>
        <sz val="11"/>
        <vertAlign val="baseline"/>
        <scheme val="minor"/>
      </font>
      <numFmt numFmtId="21" formatCode="d\-mmm"/>
      <alignment horizontal="center" vertical="bottom"/>
      <protection locked="0" hidden="0"/>
    </dxf>
    <dxf>
      <font>
        <name val="Calibri"/>
        <family val="2"/>
        <strike val="0"/>
        <outline val="0"/>
        <shadow val="0"/>
        <color theme="1"/>
        <sz val="11"/>
        <vertAlign val="baseline"/>
        <scheme val="minor"/>
      </font>
      <alignment horizontal="center" vertical="bottom"/>
      <protection locked="0" hidden="0"/>
    </dxf>
    <dxf>
      <fill>
        <patternFill patternType="solid">
          <fgColor rgb="FFFFE699"/>
          <bgColor rgb="FF000000"/>
        </patternFill>
      </fill>
    </dxf>
    <dxf>
      <fill>
        <patternFill patternType="solid">
          <fgColor rgb="FFC6E0B4"/>
          <bgColor rgb="FF000000"/>
        </patternFill>
      </fill>
    </dxf>
    <dxf>
      <font>
        <name val="Calibri"/>
        <family val="2"/>
        <strike val="0"/>
        <outline val="0"/>
        <shadow val="0"/>
        <color theme="1"/>
        <sz val="11"/>
        <vertAlign val="baseline"/>
        <scheme val="minor"/>
      </font>
      <protection locked="0" hidden="0"/>
    </dxf>
    <dxf>
      <font>
        <name val="Calibri"/>
        <family val="2"/>
        <b val="1"/>
        <strike val="0"/>
        <outline val="0"/>
        <shadow val="0"/>
        <condense val="0"/>
        <color theme="1"/>
        <extend val="0"/>
        <sz val="16"/>
        <vertAlign val="baseline"/>
        <scheme val="minor"/>
      </font>
      <alignment horizontal="center" vertical="bottom"/>
      <protection locked="0" hidden="0"/>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able1" displayName="Table1" ref="A6:G56" headerRowCount="1" totalsRowShown="0" headerRowDxfId="38" dataDxfId="37">
  <autoFilter ref="A6:G56"/>
  <sortState ref="A7:G40">
    <sortCondition sortBy="cellColor" ref="A7:A40" dxfId="36"/>
    <sortCondition sortBy="cellColor" ref="A7:A40" dxfId="35"/>
  </sortState>
  <tableColumns count="7">
    <tableColumn id="1" name="Status" dataDxfId="34"/>
    <tableColumn id="2" name="Client" dataDxfId="33"/>
    <tableColumn id="3" name="Position" dataDxfId="32"/>
    <tableColumn id="4" name="Manager" dataDxfId="31"/>
    <tableColumn id="5" name="# Positions" dataDxfId="30"/>
    <tableColumn id="6" name="Start " dataDxfId="29"/>
    <tableColumn id="7" name="Spread" dataDxfId="28"/>
  </tableColumns>
  <tableStyleInfo name="TableStyleLight8" showFirstColumn="0" showLastColumn="0" showRowStripes="1" showColumnStripes="0"/>
</table>
</file>

<file path=xl/tables/table2.xml><?xml version="1.0" encoding="utf-8"?>
<table xmlns="http://schemas.openxmlformats.org/spreadsheetml/2006/main" id="2" name="Table2" displayName="Table2" ref="A3:H21" headerRowCount="1" totalsRowShown="0" headerRowDxfId="27" dataDxfId="26">
  <autoFilter ref="A3:H21"/>
  <tableColumns count="8">
    <tableColumn id="1" name="Company " dataDxfId="25"/>
    <tableColumn id="2" name="Name" dataDxfId="24"/>
    <tableColumn id="3" name="Title" dataDxfId="23"/>
    <tableColumn id="4" name="Relationship Level " dataDxfId="22"/>
    <tableColumn id="5" name="Current Spread " dataDxfId="21"/>
    <tableColumn id="6" name="Upcoming Initiatives " dataDxfId="20"/>
    <tableColumn id="7" name="Why Top 20?" dataDxfId="19"/>
    <tableColumn id="8" name="Last Meeting/Next Meeting Date" dataDxfId="18"/>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C4"/>
  <sheetViews>
    <sheetView workbookViewId="0">
      <selection activeCell="C1" sqref="C1:C4"/>
    </sheetView>
  </sheetViews>
  <sheetFormatPr baseColWidth="8" defaultRowHeight="15"/>
  <sheetData>
    <row r="1">
      <c r="A1" t="inlineStr">
        <is>
          <t>PENDING</t>
        </is>
      </c>
      <c r="C1" t="inlineStr">
        <is>
          <t>Appointment</t>
        </is>
      </c>
    </row>
    <row r="2">
      <c r="A2" t="inlineStr">
        <is>
          <t>2 WEEKS</t>
        </is>
      </c>
      <c r="C2" t="inlineStr">
        <is>
          <t>Client Visit</t>
        </is>
      </c>
    </row>
    <row r="3">
      <c r="A3" t="inlineStr">
        <is>
          <t>4 WEEKS</t>
        </is>
      </c>
      <c r="C3" t="inlineStr">
        <is>
          <t>Lunch</t>
        </is>
      </c>
    </row>
    <row r="4">
      <c r="C4" t="inlineStr">
        <is>
          <t>OOO</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W52"/>
  <sheetViews>
    <sheetView showGridLines="0" topLeftCell="A31" workbookViewId="0">
      <selection activeCell="H50" sqref="H50"/>
    </sheetView>
  </sheetViews>
  <sheetFormatPr baseColWidth="8" defaultRowHeight="15"/>
  <cols>
    <col width="2.85546875" customWidth="1" min="1" max="1"/>
  </cols>
  <sheetData>
    <row r="1" ht="21" customHeight="1">
      <c r="A1" s="116" t="inlineStr">
        <is>
          <t>Account Manager Weekly Report - Instructions and Explanation</t>
        </is>
      </c>
      <c r="B1" s="117" t="n"/>
      <c r="C1" s="117" t="n"/>
      <c r="D1" s="117" t="n"/>
      <c r="E1" s="117" t="n"/>
      <c r="F1" s="117" t="n"/>
      <c r="G1" s="117" t="n"/>
      <c r="H1" s="118" t="n"/>
      <c r="I1" s="118" t="n"/>
      <c r="J1" s="118" t="n"/>
      <c r="K1" s="118" t="n"/>
      <c r="L1" s="118" t="n"/>
      <c r="M1" s="118" t="n"/>
      <c r="N1" s="118" t="n"/>
      <c r="O1" s="118" t="n"/>
      <c r="P1" s="118" t="n"/>
      <c r="Q1" s="118" t="n"/>
      <c r="R1" s="118" t="n"/>
      <c r="S1" s="118" t="n"/>
      <c r="T1" s="118" t="n"/>
      <c r="U1" s="118" t="n"/>
      <c r="V1" s="118" t="n"/>
      <c r="W1" s="118" t="n"/>
    </row>
    <row r="2" ht="18.6" customHeight="1">
      <c r="A2" s="119" t="inlineStr">
        <is>
          <t xml:space="preserve">This report is intended to help guide you through the sales process and provide a real time snapshot of your current book of business.  We fundementally believe that everyone can be sucessful by following three key principles (identifying good targets, </t>
        </is>
      </c>
      <c r="B2" s="120" t="n"/>
      <c r="C2" s="121" t="n"/>
      <c r="D2" s="121" t="n"/>
      <c r="E2" s="121" t="n"/>
      <c r="F2" s="121" t="n"/>
      <c r="G2" s="121" t="n"/>
    </row>
    <row r="3" ht="17.45" customHeight="1">
      <c r="A3" s="119" t="inlineStr">
        <is>
          <t xml:space="preserve">taking customers through the proper sales process and managing delivery).  This will report will ensure your Director is able to provide objective and educated guidance in order to help you be successful and hit your goals. </t>
        </is>
      </c>
      <c r="B3" s="120" t="n"/>
      <c r="C3" s="121" t="n"/>
      <c r="D3" s="121" t="n"/>
      <c r="E3" s="121" t="n"/>
      <c r="F3" s="121" t="n"/>
      <c r="G3" s="121" t="n"/>
    </row>
    <row r="4" ht="21" customHeight="1">
      <c r="A4" s="119" t="n"/>
      <c r="B4" s="120" t="n"/>
      <c r="C4" s="121" t="n"/>
      <c r="D4" s="121" t="n"/>
      <c r="E4" s="121" t="n"/>
      <c r="F4" s="121" t="n"/>
      <c r="G4" s="121" t="n"/>
    </row>
    <row r="5" ht="21" customHeight="1">
      <c r="A5" s="119" t="inlineStr">
        <is>
          <t xml:space="preserve">The biggest opportunity cost we have is our time.  Spending time on customers that cannot help you reach your goals takes away time from finding customers that can.  </t>
        </is>
      </c>
      <c r="B5" s="120" t="n"/>
      <c r="C5" s="121" t="n"/>
      <c r="D5" s="121" t="n"/>
      <c r="E5" s="121" t="n"/>
      <c r="F5" s="121" t="n"/>
      <c r="G5" s="121" t="n"/>
    </row>
    <row r="6">
      <c r="A6" s="119" t="inlineStr">
        <is>
          <t>Success is inevitable….work hard…..stay organized…..be curious….help others…..we are in this together!!!</t>
        </is>
      </c>
      <c r="B6" s="122" t="n"/>
    </row>
    <row r="7">
      <c r="A7" s="123" t="n"/>
    </row>
    <row r="8" ht="15.75" customHeight="1">
      <c r="A8" s="124" t="inlineStr">
        <is>
          <t xml:space="preserve">Goals </t>
        </is>
      </c>
      <c r="B8" s="125" t="n"/>
      <c r="C8" s="125" t="n"/>
      <c r="D8" s="125" t="n"/>
      <c r="E8" s="125" t="n"/>
      <c r="F8" s="125" t="n"/>
      <c r="G8" s="125" t="n"/>
      <c r="H8" s="125" t="n"/>
      <c r="I8" s="125" t="n"/>
      <c r="J8" s="125" t="n"/>
      <c r="K8" s="125" t="n"/>
      <c r="L8" s="125" t="n"/>
      <c r="M8" s="125" t="n"/>
      <c r="N8" s="125" t="n"/>
      <c r="O8" s="125" t="n"/>
      <c r="P8" s="125" t="n"/>
      <c r="Q8" s="125" t="n"/>
      <c r="R8" s="125" t="n"/>
      <c r="S8" s="125" t="n"/>
      <c r="T8" s="125" t="n"/>
      <c r="U8" s="125" t="n"/>
      <c r="V8" s="125" t="n"/>
      <c r="W8" s="125" t="n"/>
    </row>
    <row r="9">
      <c r="A9" s="151" t="inlineStr">
        <is>
          <t xml:space="preserve">"If you aim at nothing, you will hit it every time" </t>
        </is>
      </c>
    </row>
    <row r="10" ht="15.75" customHeight="1">
      <c r="A10" s="126" t="n"/>
    </row>
    <row r="11">
      <c r="A11" s="123" t="inlineStr">
        <is>
          <t xml:space="preserve">Goal setting is foundational to what we do.  Goals help us create roadmaps, provide focus, allow us to measure progress and ultimately hold us accountable </t>
        </is>
      </c>
    </row>
    <row r="12">
      <c r="A12" s="123" t="inlineStr">
        <is>
          <t xml:space="preserve">It is important to set short term and long term professional and personal goals.  Some personal goals should motivate you to hit your professional goals. </t>
        </is>
      </c>
    </row>
    <row r="13">
      <c r="B13" s="127" t="inlineStr">
        <is>
          <t xml:space="preserve">- Examples of short term personal goals (moving out of your parents house, taking a certain vacation, completing a physical challenge)  </t>
        </is>
      </c>
    </row>
    <row r="14">
      <c r="B14" s="127" t="inlineStr">
        <is>
          <t xml:space="preserve">- Examples of long term personal goals (paying off student debt, buying a house, marriage/kids) </t>
        </is>
      </c>
    </row>
    <row r="15">
      <c r="B15" s="127" t="inlineStr">
        <is>
          <t xml:space="preserve">- Examples of short term professional goals (hitting contest, hitting a certain spread number, breaking a certain program/account)  </t>
        </is>
      </c>
      <c r="C15" t="inlineStr">
        <is>
          <t>sd</t>
        </is>
      </c>
    </row>
    <row r="16">
      <c r="B16" s="127" t="inlineStr">
        <is>
          <t xml:space="preserve">- Examples of long term professional goals (getting promoted, running an account, opening an office) </t>
        </is>
      </c>
    </row>
    <row r="17">
      <c r="A17" s="128" t="inlineStr">
        <is>
          <t xml:space="preserve">Use the goals tab to put pen to paper and write out your long term and short term goals (both personal and professional).  Hold yourself accountable to these goals and ask that others hold you accountable as well. </t>
        </is>
      </c>
      <c r="B17" s="127" t="n"/>
    </row>
    <row r="18" ht="15.75" customHeight="1">
      <c r="A18" s="124" t="inlineStr">
        <is>
          <t xml:space="preserve">Pipeline </t>
        </is>
      </c>
      <c r="B18" s="125" t="n"/>
      <c r="C18" s="125" t="n"/>
      <c r="D18" s="125" t="n"/>
      <c r="E18" s="125" t="n"/>
      <c r="F18" s="125" t="n"/>
      <c r="G18" s="125" t="n"/>
      <c r="H18" s="125" t="n"/>
      <c r="I18" s="125" t="n"/>
      <c r="J18" s="125" t="n"/>
      <c r="K18" s="125" t="n"/>
      <c r="L18" s="125" t="n"/>
      <c r="M18" s="125" t="n"/>
      <c r="N18" s="125" t="n"/>
      <c r="O18" s="125" t="n"/>
      <c r="P18" s="125" t="n"/>
      <c r="Q18" s="125" t="n"/>
      <c r="R18" s="125" t="n"/>
      <c r="S18" s="125" t="n"/>
      <c r="T18" s="125" t="n"/>
      <c r="U18" s="125" t="n"/>
      <c r="V18" s="125" t="n"/>
      <c r="W18" s="125" t="n"/>
    </row>
    <row r="20">
      <c r="A20" s="123" t="inlineStr">
        <is>
          <t xml:space="preserve">The Pipeline tab is where you keep track of everyone you have in pending and the open business you have with your customers. </t>
        </is>
      </c>
    </row>
    <row r="21">
      <c r="B21" s="127" t="inlineStr">
        <is>
          <t xml:space="preserve">- "Pending" is everyone you have in active onboarding, when they are slated to go to work, what is still needed prior to them beginning work and what the spread is for those indviduals </t>
        </is>
      </c>
    </row>
    <row r="22">
      <c r="B22" s="127" t="inlineStr">
        <is>
          <t>- "2 Weeks" is for all reqs expected CLOSE in the next two weeks. CLOSE means "offer and accepted" with a start date in two weeks.</t>
        </is>
      </c>
    </row>
    <row r="23">
      <c r="B23" s="127" t="inlineStr">
        <is>
          <t>- "4 Weeks" is for reqs expected to close within four weeks and not something we need to focus on. This will help us plan for hiring surges and when we are pipelining candidates while working the "2 Week Pipeline"</t>
        </is>
      </c>
    </row>
    <row r="24">
      <c r="A24" s="128" t="inlineStr">
        <is>
          <t>The goal is to always be moving these reqs up the chain.  Making "B" reqs "A" reqs and closing "A" reqs to build out your pending.</t>
        </is>
      </c>
    </row>
    <row r="25" ht="15.75" customHeight="1">
      <c r="A25" s="124" t="inlineStr">
        <is>
          <t xml:space="preserve">Top 20 </t>
        </is>
      </c>
      <c r="B25" s="125" t="n"/>
      <c r="C25" s="125" t="n"/>
      <c r="D25" s="125" t="n"/>
      <c r="E25" s="125" t="n"/>
      <c r="F25" s="125" t="n"/>
      <c r="G25" s="125" t="n"/>
      <c r="H25" s="125" t="n"/>
      <c r="I25" s="125" t="n"/>
      <c r="J25" s="125" t="n"/>
      <c r="K25" s="125" t="n"/>
      <c r="L25" s="125" t="n"/>
      <c r="M25" s="125" t="n"/>
      <c r="N25" s="125" t="n"/>
      <c r="O25" s="125" t="n"/>
      <c r="P25" s="125" t="n"/>
      <c r="Q25" s="125" t="n"/>
      <c r="R25" s="125" t="n"/>
      <c r="S25" s="125" t="n"/>
      <c r="T25" s="125" t="n"/>
      <c r="U25" s="125" t="n"/>
      <c r="V25" s="125" t="n"/>
      <c r="W25" s="125" t="n"/>
    </row>
    <row r="26">
      <c r="A26" s="123" t="inlineStr">
        <is>
          <t xml:space="preserve">This is the most important tab in this document.  Your top 20 is where 95% of your spread will come from.  The contests you win and the programs you break will all be made possible by the relationships you have with the managers in your top 20 </t>
        </is>
      </c>
      <c r="B26" s="129" t="n"/>
    </row>
    <row r="27">
      <c r="A27" s="123" t="inlineStr">
        <is>
          <t xml:space="preserve">One question should be asked at the end of every meeting.  Do I build with this customer or drop this customer?  If they are a user of our service and anticipate needing to use our service over the next 6 months, you build.  If our service is foreign to them or </t>
        </is>
      </c>
    </row>
    <row r="28">
      <c r="A28" s="123" t="inlineStr">
        <is>
          <t xml:space="preserve">they have no influence in the hiring decision making process, you drop.  Everyone you "build" with gets added to your top 20 and you take them through our sales cycle (appointment, client visit, lunch, OOC).  Once you have a completed top 20, the BD doesn't  </t>
        </is>
      </c>
    </row>
    <row r="29">
      <c r="A29" s="123" t="inlineStr">
        <is>
          <t xml:space="preserve">stop.  You are now evaluating every new customer you are engaging with and determining if they are worth adding someone to your top 20 and kicking the "20th" person off the list. </t>
        </is>
      </c>
    </row>
    <row r="30">
      <c r="B30" s="127" t="inlineStr">
        <is>
          <t xml:space="preserve">- Identifying 20 customers you can have one contractor with will get you above contest (20 starts @ $600/contractor = 12k) </t>
        </is>
      </c>
    </row>
    <row r="31">
      <c r="B31" s="127" t="inlineStr">
        <is>
          <t xml:space="preserve">- Understanding your relationshiop level with each individual in your top 20 will give you an idea of where you stand with them (OOC is the goal for everyone. If a manager will not grab lunch or get drinks with you, you are just a vendor to them) </t>
        </is>
      </c>
    </row>
    <row r="32">
      <c r="B32" s="127" t="inlineStr">
        <is>
          <t xml:space="preserve">- Most top 20 customers should have bi-weekly touchpoints.  Ones with active reqs should have daily touchpoints.  Bi-weekly touchpoints with 20 managers = 10 reoccuring meetings every week </t>
        </is>
      </c>
    </row>
    <row r="33">
      <c r="B33" s="127" t="inlineStr">
        <is>
          <t xml:space="preserve">- Don't get complacent.  You should always be doing business development and seeking new opportunities.  Your 21st best customer could be in a new AM's top 5.  This is how we grow. </t>
        </is>
      </c>
    </row>
    <row r="34">
      <c r="A34" s="128" t="n"/>
      <c r="B34" s="127" t="n"/>
    </row>
    <row r="35" ht="15.75" customHeight="1">
      <c r="A35" s="124" t="inlineStr">
        <is>
          <t xml:space="preserve">Delivery </t>
        </is>
      </c>
      <c r="B35" s="125" t="n"/>
      <c r="C35" s="125" t="n"/>
      <c r="D35" s="125" t="n"/>
      <c r="E35" s="125" t="n"/>
      <c r="F35" s="125" t="n"/>
      <c r="G35" s="125" t="n"/>
      <c r="H35" s="125" t="n"/>
      <c r="I35" s="125" t="n"/>
      <c r="J35" s="125" t="n"/>
      <c r="K35" s="125" t="n"/>
      <c r="L35" s="125" t="n"/>
      <c r="M35" s="125" t="n"/>
      <c r="N35" s="125" t="n"/>
      <c r="O35" s="125" t="n"/>
      <c r="P35" s="125" t="n"/>
      <c r="Q35" s="125" t="n"/>
      <c r="R35" s="125" t="n"/>
      <c r="S35" s="125" t="n"/>
      <c r="T35" s="125" t="n"/>
      <c r="U35" s="125" t="n"/>
      <c r="V35" s="125" t="n"/>
      <c r="W35" s="125" t="n"/>
    </row>
    <row r="37">
      <c r="A37" s="123" t="inlineStr">
        <is>
          <t xml:space="preserve">This is where you will document every single submittal you sent to your customer the prior week and what those submittals translated into.  You will start to notice which customers/programs you are having the most success with and which customers need the   </t>
        </is>
      </c>
    </row>
    <row r="38">
      <c r="A38" s="123" t="inlineStr">
        <is>
          <t xml:space="preserve">most work.  How many submittals translated into interviews and ultimately into offers.  This will help guide decisions around where your delivery team should be focusing their efforts (quick moving business) and what you can be doing to improve processes with  </t>
        </is>
      </c>
    </row>
    <row r="39">
      <c r="A39" s="123" t="inlineStr">
        <is>
          <t>slow moving customers</t>
        </is>
      </c>
    </row>
    <row r="40">
      <c r="B40" s="127" t="inlineStr">
        <is>
          <t xml:space="preserve">- Make sure you are grouping all subs into specific customers/programs </t>
        </is>
      </c>
    </row>
    <row r="41">
      <c r="B41" s="127" t="inlineStr">
        <is>
          <t xml:space="preserve">- Prioritize the time of your delivery team on business that is moving and can close quickly </t>
        </is>
      </c>
    </row>
    <row r="42">
      <c r="B42" s="127" t="inlineStr">
        <is>
          <t xml:space="preserve">- Leverage the success you are having with certain customers to help improve processes with customers that aren't producing the same results </t>
        </is>
      </c>
    </row>
    <row r="43">
      <c r="A43" s="130" t="n"/>
    </row>
    <row r="44" ht="15.75" customHeight="1">
      <c r="A44" s="124" t="inlineStr">
        <is>
          <t xml:space="preserve">Business Development </t>
        </is>
      </c>
      <c r="B44" s="125" t="n"/>
      <c r="C44" s="125" t="n"/>
      <c r="D44" s="125" t="n"/>
      <c r="E44" s="125" t="n"/>
      <c r="F44" s="125" t="n"/>
      <c r="G44" s="125" t="n"/>
      <c r="H44" s="125" t="n"/>
      <c r="I44" s="125" t="n"/>
      <c r="J44" s="125" t="n"/>
      <c r="K44" s="125" t="n"/>
      <c r="L44" s="125" t="n"/>
      <c r="M44" s="125" t="n"/>
      <c r="N44" s="125" t="n"/>
      <c r="O44" s="125" t="n"/>
      <c r="P44" s="125" t="n"/>
      <c r="Q44" s="125" t="n"/>
      <c r="R44" s="125" t="n"/>
      <c r="S44" s="125" t="n"/>
      <c r="T44" s="125" t="n"/>
      <c r="U44" s="125" t="n"/>
      <c r="V44" s="125" t="n"/>
      <c r="W44" s="125" t="n"/>
    </row>
    <row r="46">
      <c r="A46" s="123" t="inlineStr">
        <is>
          <t>This is where you will document the new meetings you had last week and the new meetings you have setup for the current week.  You do not need to type your entire sales notes for the new meetings last week.  Simply list the company name, manager name,</t>
        </is>
      </c>
    </row>
    <row r="47">
      <c r="A47" s="123" t="inlineStr">
        <is>
          <t xml:space="preserve">job title and where they are a build or drop.  You and your Director will spend time talking about the "builds", ensuring they having been added to top 20 and what the nex steps need to be to take them through our sales process </t>
        </is>
      </c>
    </row>
    <row r="48">
      <c r="B48" s="127" t="inlineStr">
        <is>
          <t xml:space="preserve">- Tier 1 = customers we have over 20k with </t>
        </is>
      </c>
    </row>
    <row r="49">
      <c r="B49" s="127" t="inlineStr">
        <is>
          <t xml:space="preserve">- Tier 2 = customers we have active contractors with but are below 20k in total account spread </t>
        </is>
      </c>
    </row>
    <row r="50">
      <c r="B50" s="127" t="inlineStr">
        <is>
          <t xml:space="preserve">- Tier 2.5 = companies we have or have had agreements in place with but we have no active contractors </t>
        </is>
      </c>
    </row>
    <row r="51">
      <c r="B51" s="127" t="inlineStr">
        <is>
          <t xml:space="preserve">- Tier 3 = true account breakers.  We don't have and have never had an agreement with these companies </t>
        </is>
      </c>
    </row>
    <row r="52">
      <c r="A52" s="130"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70"/>
  <sheetViews>
    <sheetView showGridLines="0" zoomScaleNormal="100" workbookViewId="0">
      <selection activeCell="B16" sqref="B16"/>
    </sheetView>
  </sheetViews>
  <sheetFormatPr baseColWidth="8" defaultColWidth="9.140625" defaultRowHeight="15" zeroHeight="1"/>
  <cols>
    <col width="3.42578125" bestFit="1" customWidth="1" style="17" min="1" max="1"/>
    <col width="65.7109375" customWidth="1" style="17" min="2" max="2"/>
    <col width="3.42578125" customWidth="1" style="17" min="3" max="3"/>
    <col width="3.42578125" bestFit="1" customWidth="1" style="17" min="4" max="4"/>
    <col width="65.7109375" customWidth="1" style="17" min="5" max="5"/>
    <col width="9.140625" customWidth="1" style="17" min="6" max="16384"/>
  </cols>
  <sheetData>
    <row r="1"/>
    <row r="2" ht="26.25" customHeight="1">
      <c r="A2" s="3" t="inlineStr">
        <is>
          <t>Goals</t>
        </is>
      </c>
    </row>
    <row r="3" ht="21" customHeight="1">
      <c r="A3" s="171" t="inlineStr">
        <is>
          <t>Professional Goals</t>
        </is>
      </c>
      <c r="B3" s="156" t="n"/>
      <c r="C3" s="157" t="n"/>
      <c r="D3" s="172" t="inlineStr">
        <is>
          <t>Personal Goals</t>
        </is>
      </c>
      <c r="E3" s="158" t="n"/>
    </row>
    <row r="4" ht="15.75" customHeight="1">
      <c r="A4" s="174" t="inlineStr">
        <is>
          <t>Short-Term</t>
        </is>
      </c>
      <c r="B4" s="159" t="n"/>
      <c r="C4" s="160" t="n"/>
      <c r="D4" s="173" t="inlineStr">
        <is>
          <t>Short-Term</t>
        </is>
      </c>
      <c r="E4" s="161" t="n"/>
    </row>
    <row r="5">
      <c r="A5" s="162">
        <f t="array" ref="A5">IFERROR(_xlfn.SEQUENCE(COUNTA(B5:B14),,1,1),"")</f>
        <v/>
      </c>
      <c r="B5" s="152" t="n"/>
      <c r="D5" s="163">
        <f t="array" ref="D5">IFERROR(_xlfn.SEQUENCE(COUNTA(E5:E14),,1,1),"")</f>
        <v/>
      </c>
      <c r="E5" s="153" t="n"/>
    </row>
    <row r="6">
      <c r="A6" s="162" t="n"/>
      <c r="B6" s="152" t="n"/>
      <c r="D6" s="163" t="n"/>
      <c r="E6" s="153" t="n"/>
    </row>
    <row r="7">
      <c r="A7" s="162" t="n"/>
      <c r="B7" s="152" t="n"/>
      <c r="D7" s="163" t="n"/>
      <c r="E7" s="153" t="n"/>
    </row>
    <row r="8">
      <c r="A8" s="162" t="n"/>
      <c r="B8" s="152" t="n"/>
      <c r="D8" s="163" t="n"/>
      <c r="E8" s="153" t="n"/>
    </row>
    <row r="9">
      <c r="A9" s="162" t="n"/>
      <c r="B9" s="152" t="n"/>
      <c r="D9" s="163" t="n"/>
      <c r="E9" s="153" t="n"/>
    </row>
    <row r="10">
      <c r="A10" s="162" t="n"/>
      <c r="B10" s="152" t="n"/>
      <c r="D10" s="163" t="n"/>
      <c r="E10" s="153" t="n"/>
    </row>
    <row r="11">
      <c r="A11" s="162" t="n"/>
      <c r="B11" s="152" t="n"/>
      <c r="D11" s="163" t="n"/>
      <c r="E11" s="153" t="n"/>
    </row>
    <row r="12">
      <c r="A12" s="162" t="n"/>
      <c r="B12" s="152" t="n"/>
      <c r="D12" s="163" t="n"/>
      <c r="E12" s="153" t="n"/>
    </row>
    <row r="13">
      <c r="A13" s="162" t="n"/>
      <c r="B13" s="152" t="n"/>
      <c r="D13" s="163" t="n"/>
      <c r="E13" s="153" t="n"/>
    </row>
    <row r="14">
      <c r="A14" s="162" t="n"/>
      <c r="B14" s="152" t="n"/>
      <c r="D14" s="163" t="n"/>
      <c r="E14" s="153" t="n"/>
    </row>
    <row r="15" ht="15.75" customHeight="1">
      <c r="A15" s="176" t="inlineStr">
        <is>
          <t>Long-Term</t>
        </is>
      </c>
      <c r="B15" s="167" t="n"/>
      <c r="C15" s="166" t="n"/>
      <c r="D15" s="175" t="inlineStr">
        <is>
          <t>Long-Term</t>
        </is>
      </c>
      <c r="E15" s="168" t="n"/>
    </row>
    <row r="16">
      <c r="A16" s="164">
        <f t="array" ref="A16">IFERROR(_xlfn.SEQUENCE(COUNTA(B16:B25),,1,1),"")</f>
        <v/>
      </c>
      <c r="B16" s="154" t="n"/>
      <c r="D16" s="165">
        <f t="array" ref="D16">IFERROR(_xlfn.SEQUENCE(COUNTA(E16:E25),,1,1),"")</f>
        <v/>
      </c>
      <c r="E16" s="155" t="n"/>
    </row>
    <row r="17">
      <c r="A17" s="164" t="n"/>
      <c r="B17" s="154" t="n"/>
      <c r="D17" s="165" t="n"/>
      <c r="E17" s="155" t="n"/>
    </row>
    <row r="18">
      <c r="A18" s="164" t="n"/>
      <c r="B18" s="154" t="n"/>
      <c r="D18" s="165" t="n"/>
      <c r="E18" s="155" t="n"/>
    </row>
    <row r="19">
      <c r="A19" s="164" t="n"/>
      <c r="B19" s="154" t="n"/>
      <c r="D19" s="165" t="n"/>
      <c r="E19" s="155" t="n"/>
    </row>
    <row r="20">
      <c r="A20" s="164" t="n"/>
      <c r="B20" s="154" t="n"/>
      <c r="D20" s="165" t="n"/>
      <c r="E20" s="155" t="n"/>
    </row>
    <row r="21">
      <c r="A21" s="164" t="n"/>
      <c r="B21" s="154" t="n"/>
      <c r="D21" s="165" t="n"/>
      <c r="E21" s="155" t="n"/>
    </row>
    <row r="22">
      <c r="A22" s="164" t="n"/>
      <c r="B22" s="154" t="n"/>
      <c r="D22" s="165" t="n"/>
      <c r="E22" s="155" t="n"/>
    </row>
    <row r="23">
      <c r="A23" s="164" t="n"/>
      <c r="B23" s="154" t="n"/>
      <c r="D23" s="165" t="n"/>
      <c r="E23" s="155" t="n"/>
    </row>
    <row r="24">
      <c r="A24" s="164" t="n"/>
      <c r="B24" s="154" t="n"/>
      <c r="D24" s="165" t="n"/>
      <c r="E24" s="155" t="n"/>
    </row>
    <row r="25">
      <c r="A25" s="164" t="n"/>
      <c r="B25" s="154" t="n"/>
      <c r="D25" s="165" t="n"/>
      <c r="E25" s="155" t="n"/>
    </row>
    <row r="26">
      <c r="A26" s="169" t="n"/>
    </row>
    <row r="27">
      <c r="A27" s="169" t="n"/>
    </row>
    <row r="28">
      <c r="A28" s="169" t="n"/>
    </row>
    <row r="29">
      <c r="A29" s="169" t="n"/>
    </row>
    <row r="30">
      <c r="A30" s="169" t="n"/>
    </row>
    <row r="31">
      <c r="A31" s="195" t="n"/>
    </row>
    <row r="32">
      <c r="A32" s="195" t="n"/>
    </row>
    <row r="33">
      <c r="A33" s="195" t="n"/>
    </row>
    <row r="34">
      <c r="A34" s="195" t="n"/>
    </row>
    <row r="35">
      <c r="A35" s="195" t="n"/>
    </row>
    <row r="36">
      <c r="A36" s="195" t="n"/>
    </row>
    <row r="37">
      <c r="A37" s="195" t="n"/>
    </row>
    <row r="38">
      <c r="A38" s="195" t="n"/>
    </row>
    <row r="39">
      <c r="A39" s="195" t="n"/>
    </row>
    <row r="40">
      <c r="A40" s="195" t="n"/>
    </row>
    <row r="41">
      <c r="A41" s="195" t="n"/>
    </row>
    <row r="42">
      <c r="A42" s="195" t="n"/>
    </row>
    <row r="43">
      <c r="A43" s="195" t="n"/>
    </row>
    <row r="44">
      <c r="A44" s="195" t="n"/>
    </row>
    <row r="45">
      <c r="A45" s="195" t="n"/>
    </row>
    <row r="46">
      <c r="A46" s="195" t="n"/>
    </row>
    <row r="47">
      <c r="A47" s="195" t="n"/>
    </row>
    <row r="48">
      <c r="A48" s="195" t="n"/>
    </row>
    <row r="49">
      <c r="A49" s="195" t="n"/>
    </row>
    <row r="50">
      <c r="A50" s="195" t="n"/>
    </row>
    <row r="51">
      <c r="A51" s="195" t="n"/>
    </row>
    <row r="52">
      <c r="A52" s="195" t="n"/>
    </row>
    <row r="53">
      <c r="A53" s="195" t="n"/>
    </row>
    <row r="54">
      <c r="A54" s="195" t="n"/>
    </row>
    <row r="55">
      <c r="A55" s="195" t="n"/>
    </row>
    <row r="56">
      <c r="A56" s="195" t="n"/>
    </row>
    <row r="57">
      <c r="A57" s="195" t="n"/>
    </row>
    <row r="58">
      <c r="A58" s="195" t="n"/>
    </row>
    <row r="59">
      <c r="A59" s="195" t="n"/>
    </row>
    <row r="60">
      <c r="A60" s="195" t="n"/>
    </row>
    <row r="61">
      <c r="A61" s="195" t="n"/>
    </row>
    <row r="62">
      <c r="A62" s="195" t="n"/>
    </row>
    <row r="63">
      <c r="A63" s="195" t="n"/>
    </row>
    <row r="64">
      <c r="A64" s="195" t="n"/>
    </row>
    <row r="65">
      <c r="A65" s="195" t="n"/>
    </row>
    <row r="66">
      <c r="A66" s="195" t="n"/>
    </row>
    <row r="67">
      <c r="A67" s="195" t="n"/>
    </row>
    <row r="68">
      <c r="A68" s="195" t="n"/>
    </row>
    <row r="69">
      <c r="A69" s="195" t="n"/>
    </row>
    <row r="70">
      <c r="A70" s="195" t="n"/>
    </row>
  </sheetData>
  <sheetProtection selectLockedCells="0" selectUnlockedCells="0" algorithmName="SHA-512" sheet="1" objects="0" insertRows="0" insertHyperlinks="1" autoFilter="1" scenarios="0" formatColumns="1" deleteColumns="1" insertColumns="1" pivotTables="1" deleteRows="0" formatCells="1" saltValue="zjTXXqTOCG/0oa9OZPGwfw==" formatRows="1" sort="1" spinCount="100000" hashValue="sx2oA4GpfOmDe7LGvnwvYN0Lyka8QbuttSGX7zX6BlX42J/6/vAzdWP+OYW4AUx4dWIvgZaMBQob5aHS1PReyw=="/>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215"/>
  <sheetViews>
    <sheetView showGridLines="0" zoomScale="70" zoomScaleNormal="70" workbookViewId="0">
      <selection activeCell="B18" sqref="B18:G20"/>
    </sheetView>
  </sheetViews>
  <sheetFormatPr baseColWidth="8" defaultColWidth="9.140625" defaultRowHeight="15"/>
  <cols>
    <col width="15.7109375" customWidth="1" min="1" max="1"/>
    <col width="35.7109375" customWidth="1" min="2" max="2"/>
    <col width="40.42578125" customWidth="1" min="3" max="3"/>
    <col width="32.140625" customWidth="1" min="4" max="4"/>
    <col width="24.7109375" customWidth="1" min="5" max="5"/>
    <col width="83.42578125" customWidth="1" min="6" max="6"/>
    <col width="18.7109375" customWidth="1" min="7" max="7"/>
    <col width="16.140625" customWidth="1" min="8" max="8"/>
  </cols>
  <sheetData>
    <row r="1">
      <c r="D1" s="13" t="inlineStr">
        <is>
          <t>PENDING</t>
        </is>
      </c>
      <c r="E1" s="9">
        <f>COUNTIFS(Table1[Status],D1,Table1[Position],"&lt;&gt;")</f>
        <v/>
      </c>
      <c r="F1" s="9" t="n"/>
      <c r="G1" s="196">
        <f>SUMIFS(Table1[Spread],Table1[Status],D1,Table1[Position],"&lt;&gt;")</f>
        <v/>
      </c>
    </row>
    <row r="2">
      <c r="D2" s="14" t="inlineStr">
        <is>
          <t>2 WEEKS</t>
        </is>
      </c>
      <c r="E2" s="10">
        <f>COUNTIFS(Table1[Status],D2,Table1[Position],"&lt;&gt;")</f>
        <v/>
      </c>
      <c r="F2" s="10" t="n"/>
      <c r="G2" s="197">
        <f>SUMIFS(Table1[Spread],Table1[Status],D2,Table1[Position],"&lt;&gt;")</f>
        <v/>
      </c>
    </row>
    <row r="3">
      <c r="D3" s="15" t="inlineStr">
        <is>
          <t>4 WEEKS</t>
        </is>
      </c>
      <c r="E3" s="11">
        <f>COUNTIFS(Table1[Status],D3,Table1[Position],"&lt;&gt;")</f>
        <v/>
      </c>
      <c r="F3" s="11" t="n"/>
      <c r="G3" s="198">
        <f>SUMIFS(Table1[Spread],Table1[Status],D3,Table1[Position],"&lt;&gt;")</f>
        <v/>
      </c>
    </row>
    <row r="4" ht="15.75" customHeight="1" thickBot="1">
      <c r="D4" s="7" t="inlineStr">
        <is>
          <t>Total</t>
        </is>
      </c>
      <c r="E4" s="12">
        <f>SUM(E1:E3)</f>
        <v/>
      </c>
      <c r="F4" s="12" t="n"/>
      <c r="G4" s="199">
        <f>SUM(G1:G3)</f>
        <v/>
      </c>
    </row>
    <row r="5" ht="26.25" customHeight="1">
      <c r="A5" s="3" t="inlineStr">
        <is>
          <t>PRIME TECHNICAL SERVICES PIPELINE</t>
        </is>
      </c>
    </row>
    <row r="6" ht="23.25" customHeight="1">
      <c r="A6" s="18" t="inlineStr">
        <is>
          <t>PENDING</t>
        </is>
      </c>
      <c r="B6" s="18" t="inlineStr">
        <is>
          <t>GDIT / SAIC - DISA / DoD IT</t>
        </is>
      </c>
      <c r="C6" s="18" t="inlineStr">
        <is>
          <t>Secret Sr. Network Engineer</t>
        </is>
      </c>
      <c r="D6" s="18" t="inlineStr">
        <is>
          <t>TBD - Research Required</t>
        </is>
      </c>
      <c r="E6" s="18" t="n">
        <v>1</v>
      </c>
      <c r="F6" s="18" t="inlineStr">
        <is>
          <t>TBD</t>
        </is>
      </c>
      <c r="G6" s="18" t="inlineStr">
        <is>
          <t>$0</t>
        </is>
      </c>
    </row>
    <row r="7" ht="15" customFormat="1" customHeight="1" s="1">
      <c r="A7" s="180" t="inlineStr">
        <is>
          <t>PENDING</t>
        </is>
      </c>
      <c r="B7" s="178" t="inlineStr">
        <is>
          <t>Multiple - Pentagon / OSD</t>
        </is>
      </c>
      <c r="C7" s="179" t="inlineStr">
        <is>
          <t>Top Secret Cyber Policy Action Officer</t>
        </is>
      </c>
      <c r="D7" s="179" t="inlineStr">
        <is>
          <t>TBD - Research Required</t>
        </is>
      </c>
      <c r="E7" s="180" t="n">
        <v>1</v>
      </c>
      <c r="F7" s="181" t="inlineStr">
        <is>
          <t>TBD</t>
        </is>
      </c>
      <c r="G7" s="200" t="inlineStr">
        <is>
          <t>$0</t>
        </is>
      </c>
    </row>
    <row r="8" ht="15" customFormat="1" customHeight="1" s="1">
      <c r="A8" s="180" t="inlineStr">
        <is>
          <t>PENDING</t>
        </is>
      </c>
      <c r="B8" s="178" t="inlineStr">
        <is>
          <t>GDIT / BAE Systems - AF DCGS PACAF / Navy DCGS-N</t>
        </is>
      </c>
      <c r="C8" s="179" t="inlineStr">
        <is>
          <t>Top Secret Senior Safety Engineer</t>
        </is>
      </c>
      <c r="D8" s="179" t="inlineStr">
        <is>
          <t>TBD - Research Required</t>
        </is>
      </c>
      <c r="E8" s="180" t="n">
        <v>1</v>
      </c>
      <c r="F8" s="181" t="inlineStr">
        <is>
          <t>TBD</t>
        </is>
      </c>
      <c r="G8" s="200" t="inlineStr">
        <is>
          <t>$0</t>
        </is>
      </c>
    </row>
    <row r="9" ht="15" customFormat="1" customHeight="1" s="1">
      <c r="A9" s="180" t="inlineStr">
        <is>
          <t>PENDING</t>
        </is>
      </c>
      <c r="B9" s="178" t="inlineStr">
        <is>
          <t>Multiple - IC Support (NGA/CIA/ODNI)</t>
        </is>
      </c>
      <c r="C9" s="179" t="inlineStr">
        <is>
          <t>DevOps Engineer - TSSCI w/ Poly</t>
        </is>
      </c>
      <c r="D9" s="179" t="inlineStr">
        <is>
          <t>TBD - Research Required</t>
        </is>
      </c>
      <c r="E9" s="180" t="n">
        <v>1</v>
      </c>
      <c r="F9" s="181" t="inlineStr">
        <is>
          <t>TBD</t>
        </is>
      </c>
      <c r="G9" s="200" t="inlineStr">
        <is>
          <t>$0</t>
        </is>
      </c>
    </row>
    <row r="10" ht="15" customFormat="1" customHeight="1" s="1">
      <c r="A10" s="180" t="inlineStr">
        <is>
          <t>PENDING</t>
        </is>
      </c>
      <c r="B10" s="178" t="inlineStr">
        <is>
          <t>Unknown - Unknown - Requires Research</t>
        </is>
      </c>
      <c r="C10" s="179" t="inlineStr">
        <is>
          <t>(CI Poly) Splunk Engineer</t>
        </is>
      </c>
      <c r="D10" s="179" t="inlineStr">
        <is>
          <t>TBD - Research Required</t>
        </is>
      </c>
      <c r="E10" s="180" t="n">
        <v>1</v>
      </c>
      <c r="F10" s="181" t="inlineStr">
        <is>
          <t>TBD</t>
        </is>
      </c>
      <c r="G10" s="200" t="inlineStr">
        <is>
          <t>$0</t>
        </is>
      </c>
    </row>
    <row r="11" ht="15" customFormat="1" customHeight="1" s="1">
      <c r="A11" s="180" t="inlineStr">
        <is>
          <t>PENDING</t>
        </is>
      </c>
      <c r="B11" s="178" t="inlineStr">
        <is>
          <t>Multiple - AFMC / AAC Programs</t>
        </is>
      </c>
      <c r="C11" s="179" t="inlineStr">
        <is>
          <t>TS/SCI - Electrical/Electronic Engineer SME</t>
        </is>
      </c>
      <c r="D11" s="179" t="inlineStr">
        <is>
          <t>TBD - Research Required</t>
        </is>
      </c>
      <c r="E11" s="180" t="n">
        <v>1</v>
      </c>
      <c r="F11" s="181" t="inlineStr">
        <is>
          <t>TBD</t>
        </is>
      </c>
      <c r="G11" s="200" t="inlineStr">
        <is>
          <t>$0</t>
        </is>
      </c>
    </row>
    <row r="12" ht="15" customFormat="1" customHeight="1" s="1">
      <c r="A12" s="180" t="inlineStr">
        <is>
          <t>PENDING</t>
        </is>
      </c>
      <c r="B12" s="178" t="inlineStr">
        <is>
          <t>MIT LL - MIT Lincoln Lab</t>
        </is>
      </c>
      <c r="C12" s="179" t="inlineStr">
        <is>
          <t>Cybersecurity Engineer - ISSE Cleared</t>
        </is>
      </c>
      <c r="D12" s="179" t="inlineStr">
        <is>
          <t>TBD - Research Required</t>
        </is>
      </c>
      <c r="E12" s="180" t="n">
        <v>1</v>
      </c>
      <c r="F12" s="181" t="inlineStr">
        <is>
          <t>TBD</t>
        </is>
      </c>
      <c r="G12" s="200" t="inlineStr">
        <is>
          <t>$0</t>
        </is>
      </c>
    </row>
    <row r="13" ht="15" customFormat="1" customHeight="1" s="1">
      <c r="A13" s="180" t="inlineStr">
        <is>
          <t>PENDING</t>
        </is>
      </c>
      <c r="B13" s="178" t="inlineStr">
        <is>
          <t>GDIT / L3Harris - AFSOC / USSOCOM</t>
        </is>
      </c>
      <c r="C13" s="179" t="inlineStr">
        <is>
          <t>Top Secret FSR Analyst (Stuttgart Germany; Ft. Bra</t>
        </is>
      </c>
      <c r="D13" s="179" t="inlineStr">
        <is>
          <t>TBD - Research Required</t>
        </is>
      </c>
      <c r="E13" s="180" t="n">
        <v>1</v>
      </c>
      <c r="F13" s="181" t="inlineStr">
        <is>
          <t>TBD</t>
        </is>
      </c>
      <c r="G13" s="200" t="inlineStr">
        <is>
          <t>$0</t>
        </is>
      </c>
    </row>
    <row r="14" ht="15" customFormat="1" customHeight="1" s="1">
      <c r="A14" s="180" t="inlineStr">
        <is>
          <t>PENDING</t>
        </is>
      </c>
      <c r="B14" s="178" t="inlineStr">
        <is>
          <t>Northrop - Northrop Grumman Missile</t>
        </is>
      </c>
      <c r="C14" s="179" t="inlineStr">
        <is>
          <t>Top Secret Cleared Guidance Engineer</t>
        </is>
      </c>
      <c r="D14" s="179" t="inlineStr">
        <is>
          <t>TBD - Research Required</t>
        </is>
      </c>
      <c r="E14" s="180" t="n">
        <v>1</v>
      </c>
      <c r="F14" s="181" t="inlineStr">
        <is>
          <t>TBD</t>
        </is>
      </c>
      <c r="G14" s="200" t="inlineStr">
        <is>
          <t>$0</t>
        </is>
      </c>
    </row>
    <row r="15" ht="15" customFormat="1" customHeight="1" s="1">
      <c r="A15" s="180" t="inlineStr">
        <is>
          <t>PENDING</t>
        </is>
      </c>
      <c r="B15" s="178" t="inlineStr">
        <is>
          <t>Northrop / Lockheed - MDA (GMD/IBCS/HBTSS)</t>
        </is>
      </c>
      <c r="C15" s="179" t="inlineStr">
        <is>
          <t>Top Secret Operations Support Engineer</t>
        </is>
      </c>
      <c r="D15" s="179" t="inlineStr">
        <is>
          <t>TBD - Research Required</t>
        </is>
      </c>
      <c r="E15" s="180" t="n">
        <v>1</v>
      </c>
      <c r="F15" s="181" t="inlineStr">
        <is>
          <t>TBD</t>
        </is>
      </c>
      <c r="G15" s="200" t="inlineStr">
        <is>
          <t>$0</t>
        </is>
      </c>
    </row>
    <row r="16" customFormat="1" s="1">
      <c r="A16" s="180" t="inlineStr">
        <is>
          <t>PENDING</t>
        </is>
      </c>
      <c r="B16" s="178" t="n"/>
      <c r="C16" s="179" t="n"/>
      <c r="D16" s="179" t="n"/>
      <c r="E16" s="180" t="n"/>
      <c r="F16" s="181" t="n"/>
      <c r="G16" s="200" t="n"/>
    </row>
    <row r="17" customFormat="1" s="2">
      <c r="A17" s="180" t="inlineStr">
        <is>
          <t>PENDING</t>
        </is>
      </c>
      <c r="B17" s="178" t="n"/>
      <c r="C17" s="179" t="n"/>
      <c r="D17" s="179" t="n"/>
      <c r="E17" s="180" t="n"/>
      <c r="F17" s="181" t="n"/>
      <c r="G17" s="200" t="n"/>
    </row>
    <row r="18" customFormat="1" s="2">
      <c r="A18" s="180" t="inlineStr">
        <is>
          <t>2 WEEKS</t>
        </is>
      </c>
      <c r="B18" s="178" t="n"/>
      <c r="C18" s="179" t="n"/>
      <c r="D18" s="179" t="n"/>
      <c r="E18" s="180" t="n"/>
      <c r="F18" s="181" t="n"/>
      <c r="G18" s="200" t="n"/>
      <c r="H18" s="1" t="n"/>
    </row>
    <row r="19" customFormat="1" s="2">
      <c r="A19" s="180" t="inlineStr">
        <is>
          <t>2 WEEKS</t>
        </is>
      </c>
      <c r="B19" s="178" t="n"/>
      <c r="C19" s="179" t="n"/>
      <c r="D19" s="179" t="n"/>
      <c r="E19" s="180" t="n"/>
      <c r="F19" s="181" t="n"/>
      <c r="G19" s="200" t="n"/>
      <c r="H19" s="1" t="n"/>
    </row>
    <row r="20" customFormat="1" s="2">
      <c r="A20" s="180" t="inlineStr">
        <is>
          <t>2 WEEKS</t>
        </is>
      </c>
      <c r="B20" s="178" t="n"/>
      <c r="C20" s="179" t="n"/>
      <c r="D20" s="179" t="n"/>
      <c r="E20" s="180" t="n"/>
      <c r="F20" s="181" t="n"/>
      <c r="G20" s="200" t="n"/>
      <c r="H20" s="1" t="n"/>
    </row>
    <row r="21" customFormat="1" s="2">
      <c r="A21" s="180" t="inlineStr">
        <is>
          <t>2 WEEKS</t>
        </is>
      </c>
      <c r="B21" s="178" t="n"/>
      <c r="C21" s="179" t="n"/>
      <c r="D21" s="179" t="n"/>
      <c r="E21" s="180" t="n"/>
      <c r="F21" s="181" t="n"/>
      <c r="G21" s="200" t="n"/>
      <c r="H21" s="1" t="n"/>
    </row>
    <row r="22" customFormat="1" s="2">
      <c r="A22" s="180" t="inlineStr">
        <is>
          <t>2 WEEKS</t>
        </is>
      </c>
      <c r="B22" s="178" t="n"/>
      <c r="C22" s="179" t="n"/>
      <c r="D22" s="179" t="n"/>
      <c r="E22" s="180" t="n"/>
      <c r="F22" s="181" t="n"/>
      <c r="G22" s="200" t="n"/>
      <c r="H22" s="1" t="n"/>
    </row>
    <row r="23" customFormat="1" s="2">
      <c r="A23" s="180" t="inlineStr">
        <is>
          <t>2 WEEKS</t>
        </is>
      </c>
      <c r="B23" s="178" t="n"/>
      <c r="C23" s="179" t="n"/>
      <c r="D23" s="179" t="n"/>
      <c r="E23" s="180" t="n"/>
      <c r="F23" s="181" t="n"/>
      <c r="G23" s="200" t="n"/>
      <c r="H23" s="1" t="n"/>
    </row>
    <row r="24" customFormat="1" s="2">
      <c r="A24" s="180" t="inlineStr">
        <is>
          <t>2 WEEKS</t>
        </is>
      </c>
      <c r="B24" s="178" t="n"/>
      <c r="C24" s="179" t="n"/>
      <c r="D24" s="179" t="n"/>
      <c r="E24" s="180" t="n"/>
      <c r="F24" s="181" t="n"/>
      <c r="G24" s="200" t="n"/>
      <c r="H24" s="1" t="n"/>
    </row>
    <row r="25" customFormat="1" s="2">
      <c r="A25" s="180" t="inlineStr">
        <is>
          <t>2 WEEKS</t>
        </is>
      </c>
      <c r="B25" s="178" t="n"/>
      <c r="C25" s="179" t="n"/>
      <c r="D25" s="179" t="n"/>
      <c r="E25" s="180" t="n"/>
      <c r="F25" s="181" t="n"/>
      <c r="G25" s="200" t="n"/>
      <c r="H25" s="1" t="n"/>
    </row>
    <row r="26" customFormat="1" s="1">
      <c r="A26" s="180" t="inlineStr">
        <is>
          <t>2 WEEKS</t>
        </is>
      </c>
      <c r="B26" s="178" t="n"/>
      <c r="C26" s="179" t="n"/>
      <c r="D26" s="179" t="n"/>
      <c r="E26" s="180" t="n"/>
      <c r="F26" s="181" t="n"/>
      <c r="G26" s="200" t="n"/>
    </row>
    <row r="27" customFormat="1" s="1">
      <c r="A27" s="180" t="inlineStr">
        <is>
          <t>4 WEEKS</t>
        </is>
      </c>
      <c r="B27" s="178" t="inlineStr">
        <is>
          <t>GDIT - DISA N-JRSS / CENTCOM IT</t>
        </is>
      </c>
      <c r="C27" s="179" t="inlineStr">
        <is>
          <t>TS/SCI Network Administrator III (WAN (N-JRSS))</t>
        </is>
      </c>
      <c r="D27" s="179" t="inlineStr">
        <is>
          <t>TBD - Research Required</t>
        </is>
      </c>
      <c r="E27" s="180" t="n">
        <v>1</v>
      </c>
      <c r="F27" s="181" t="inlineStr">
        <is>
          <t>TBD</t>
        </is>
      </c>
      <c r="G27" s="200" t="inlineStr">
        <is>
          <t>$0</t>
        </is>
      </c>
    </row>
    <row r="28" customFormat="1" s="1">
      <c r="A28" s="180" t="inlineStr">
        <is>
          <t>4 WEEKS</t>
        </is>
      </c>
      <c r="B28" s="180" t="inlineStr">
        <is>
          <t>Multiple (GDIT/Northrop/SAIC) - NSA / USCYBERCOM</t>
        </is>
      </c>
      <c r="C28" s="179" t="inlineStr">
        <is>
          <t>CI Poly Digital Network Exploitation Analyst</t>
        </is>
      </c>
      <c r="D28" s="179" t="inlineStr">
        <is>
          <t>TBD - Research Required</t>
        </is>
      </c>
      <c r="E28" s="180" t="n">
        <v>1</v>
      </c>
      <c r="F28" s="181" t="inlineStr">
        <is>
          <t>TBD</t>
        </is>
      </c>
      <c r="G28" s="200" t="inlineStr">
        <is>
          <t>$0</t>
        </is>
      </c>
    </row>
    <row r="29" customFormat="1" s="1">
      <c r="A29" s="180" t="inlineStr">
        <is>
          <t>4 WEEKS</t>
        </is>
      </c>
      <c r="B29" s="178" t="inlineStr">
        <is>
          <t>GDIT / Peraton - AF 16th Air Force / Cyber</t>
        </is>
      </c>
      <c r="C29" s="179" t="inlineStr">
        <is>
          <t>TS/SCI Network Administrator III (WAN) (Afternoon)</t>
        </is>
      </c>
      <c r="D29" s="179" t="inlineStr">
        <is>
          <t>TBD - Research Required</t>
        </is>
      </c>
      <c r="E29" s="180" t="n">
        <v>1</v>
      </c>
      <c r="F29" s="181" t="inlineStr">
        <is>
          <t>TBD</t>
        </is>
      </c>
      <c r="G29" s="200" t="inlineStr">
        <is>
          <t>$0</t>
        </is>
      </c>
    </row>
    <row r="30" customFormat="1" s="1">
      <c r="A30" s="180" t="inlineStr">
        <is>
          <t>4 WEEKS</t>
        </is>
      </c>
      <c r="B30" s="178" t="inlineStr">
        <is>
          <t>GDIT - DISA N-JRSS / CENTCOM IT</t>
        </is>
      </c>
      <c r="C30" s="179" t="inlineStr">
        <is>
          <t>TS/SCI Network Administrator III (WAN) (Afternoon)</t>
        </is>
      </c>
      <c r="D30" s="179" t="inlineStr">
        <is>
          <t>TBD - Research Required</t>
        </is>
      </c>
      <c r="E30" s="180" t="n">
        <v>1</v>
      </c>
      <c r="F30" s="181" t="inlineStr">
        <is>
          <t>TBD</t>
        </is>
      </c>
      <c r="G30" s="200" t="inlineStr">
        <is>
          <t>$0</t>
        </is>
      </c>
    </row>
    <row r="31">
      <c r="A31" s="180" t="inlineStr">
        <is>
          <t>4 WEEKS</t>
        </is>
      </c>
      <c r="B31" s="178" t="inlineStr">
        <is>
          <t>GDIT - DISA N-JRSS / CENTCOM IT</t>
        </is>
      </c>
      <c r="C31" s="179" t="inlineStr">
        <is>
          <t>TS/SCI Network Administrator III (WAN) (Afternoon)</t>
        </is>
      </c>
      <c r="D31" s="179" t="inlineStr">
        <is>
          <t>TBD - Research Required</t>
        </is>
      </c>
      <c r="E31" s="180" t="n">
        <v>1</v>
      </c>
      <c r="F31" s="181" t="inlineStr">
        <is>
          <t>TBD</t>
        </is>
      </c>
      <c r="G31" s="200" t="inlineStr">
        <is>
          <t>$0</t>
        </is>
      </c>
    </row>
    <row r="32">
      <c r="A32" s="180" t="inlineStr">
        <is>
          <t>4 WEEKS</t>
        </is>
      </c>
      <c r="B32" s="178" t="inlineStr">
        <is>
          <t>GDIT - DISA N-JRSS / CENTCOM IT</t>
        </is>
      </c>
      <c r="C32" s="179" t="inlineStr">
        <is>
          <t>TS/SCI Network Administrator III (WAN) (Day Shift)</t>
        </is>
      </c>
      <c r="D32" s="179" t="inlineStr">
        <is>
          <t>TBD - Research Required</t>
        </is>
      </c>
      <c r="E32" s="180" t="n">
        <v>1</v>
      </c>
      <c r="F32" s="181" t="inlineStr">
        <is>
          <t>TBD</t>
        </is>
      </c>
      <c r="G32" s="200" t="inlineStr">
        <is>
          <t>$0</t>
        </is>
      </c>
    </row>
    <row r="33">
      <c r="A33" s="180" t="inlineStr">
        <is>
          <t>4 WEEKS</t>
        </is>
      </c>
      <c r="B33" s="178" t="inlineStr">
        <is>
          <t>Multiple - IC Enterprise Programs</t>
        </is>
      </c>
      <c r="C33" s="179" t="inlineStr">
        <is>
          <t>TS/SCI with Poly Cyber Network Defense and Exploit</t>
        </is>
      </c>
      <c r="D33" s="179" t="inlineStr">
        <is>
          <t>TBD - Research Required</t>
        </is>
      </c>
      <c r="E33" s="180" t="n">
        <v>1</v>
      </c>
      <c r="F33" s="181" t="inlineStr">
        <is>
          <t>TBD</t>
        </is>
      </c>
      <c r="G33" s="200" t="inlineStr">
        <is>
          <t>$0</t>
        </is>
      </c>
    </row>
    <row r="34">
      <c r="A34" s="180" t="inlineStr">
        <is>
          <t>4 WEEKS</t>
        </is>
      </c>
      <c r="B34" s="178" t="inlineStr">
        <is>
          <t>Multiple - IC Support (NGA/CIA/ODNI)</t>
        </is>
      </c>
      <c r="C34" s="179" t="inlineStr">
        <is>
          <t>TSSCI Intel Analyst</t>
        </is>
      </c>
      <c r="D34" s="179" t="inlineStr">
        <is>
          <t>TBD - Research Required</t>
        </is>
      </c>
      <c r="E34" s="180" t="n">
        <v>1</v>
      </c>
      <c r="F34" s="181" t="inlineStr">
        <is>
          <t>TBD</t>
        </is>
      </c>
      <c r="G34" s="200" t="inlineStr">
        <is>
          <t>$0</t>
        </is>
      </c>
    </row>
    <row r="35">
      <c r="A35" s="180" t="inlineStr">
        <is>
          <t>4 WEEKS</t>
        </is>
      </c>
      <c r="B35" s="178" t="inlineStr">
        <is>
          <t>Unknown - Unknown - Requires Research</t>
        </is>
      </c>
      <c r="C35" s="179" t="inlineStr">
        <is>
          <t>(CI Poly) Network Engineer</t>
        </is>
      </c>
      <c r="D35" s="179" t="inlineStr">
        <is>
          <t>TBD - Research Required</t>
        </is>
      </c>
      <c r="E35" s="180" t="n">
        <v>1</v>
      </c>
      <c r="F35" s="181" t="inlineStr">
        <is>
          <t>TBD</t>
        </is>
      </c>
      <c r="G35" s="200" t="inlineStr">
        <is>
          <t>$0</t>
        </is>
      </c>
    </row>
    <row r="36">
      <c r="A36" s="180" t="inlineStr">
        <is>
          <t>4 WEEKS</t>
        </is>
      </c>
      <c r="B36" s="178" t="inlineStr">
        <is>
          <t>Multiple - IC Support (NGA/CIA/ODNI)</t>
        </is>
      </c>
      <c r="C36" s="179" t="inlineStr">
        <is>
          <t>TSSCI Intel Analyst</t>
        </is>
      </c>
      <c r="D36" s="179" t="inlineStr">
        <is>
          <t>TBD - Research Required</t>
        </is>
      </c>
      <c r="E36" s="180" t="n">
        <v>1</v>
      </c>
      <c r="F36" s="181" t="inlineStr">
        <is>
          <t>TBD</t>
        </is>
      </c>
      <c r="G36" s="200" t="inlineStr">
        <is>
          <t>$0</t>
        </is>
      </c>
    </row>
    <row r="37">
      <c r="A37" s="180" t="inlineStr">
        <is>
          <t>4 WEEKS</t>
        </is>
      </c>
      <c r="B37" s="180" t="n"/>
      <c r="C37" s="179" t="n"/>
      <c r="D37" s="179" t="n"/>
      <c r="E37" s="180" t="n"/>
      <c r="F37" s="181" t="n"/>
      <c r="G37" s="200" t="n"/>
    </row>
    <row r="38">
      <c r="A38" s="180" t="inlineStr">
        <is>
          <t>4 WEEKS</t>
        </is>
      </c>
      <c r="B38" s="178" t="n"/>
      <c r="C38" s="179" t="n"/>
      <c r="D38" s="179" t="n"/>
      <c r="E38" s="180" t="n"/>
      <c r="F38" s="181" t="n"/>
      <c r="G38" s="200" t="n"/>
    </row>
    <row r="39">
      <c r="A39" s="180" t="inlineStr">
        <is>
          <t>4 WEEKS</t>
        </is>
      </c>
      <c r="B39" s="178" t="n"/>
      <c r="C39" s="179" t="n"/>
      <c r="D39" s="179" t="n"/>
      <c r="E39" s="180" t="n"/>
      <c r="F39" s="181" t="n"/>
      <c r="G39" s="200" t="n"/>
    </row>
    <row r="40">
      <c r="A40" s="180" t="inlineStr">
        <is>
          <t>4 WEEKS</t>
        </is>
      </c>
      <c r="B40" s="178" t="n"/>
      <c r="C40" s="179" t="n"/>
      <c r="D40" s="179" t="n"/>
      <c r="E40" s="180" t="n"/>
      <c r="F40" s="181" t="n"/>
      <c r="G40" s="200" t="n"/>
    </row>
    <row r="41">
      <c r="A41" s="180" t="inlineStr">
        <is>
          <t>4 WEEKS</t>
        </is>
      </c>
      <c r="B41" s="178" t="n"/>
      <c r="C41" s="179" t="n"/>
      <c r="D41" s="179" t="n"/>
      <c r="E41" s="180" t="n"/>
      <c r="F41" s="181" t="n"/>
      <c r="G41" s="200" t="n"/>
    </row>
    <row r="42">
      <c r="A42" s="180" t="inlineStr">
        <is>
          <t>4 WEEKS</t>
        </is>
      </c>
      <c r="B42" s="178" t="n"/>
      <c r="C42" s="179" t="n"/>
      <c r="D42" s="179" t="n"/>
      <c r="E42" s="180" t="n"/>
      <c r="F42" s="181" t="n"/>
      <c r="G42" s="200" t="n"/>
    </row>
    <row r="43">
      <c r="A43" s="180" t="inlineStr">
        <is>
          <t>4 WEEKS</t>
        </is>
      </c>
      <c r="B43" s="178" t="n"/>
      <c r="C43" s="179" t="n"/>
      <c r="D43" s="179" t="n"/>
      <c r="E43" s="180" t="n"/>
      <c r="F43" s="181" t="n"/>
      <c r="G43" s="200" t="n"/>
    </row>
    <row r="44">
      <c r="A44" s="180" t="inlineStr">
        <is>
          <t>4 WEEKS</t>
        </is>
      </c>
      <c r="B44" s="178" t="n"/>
      <c r="C44" s="179" t="n"/>
      <c r="D44" s="179" t="n"/>
      <c r="E44" s="180" t="n"/>
      <c r="F44" s="181" t="n"/>
      <c r="G44" s="200" t="n"/>
    </row>
    <row r="45">
      <c r="A45" s="180" t="inlineStr">
        <is>
          <t>4 WEEKS</t>
        </is>
      </c>
      <c r="B45" s="178" t="n"/>
      <c r="C45" s="179" t="n"/>
      <c r="D45" s="179" t="n"/>
      <c r="E45" s="180" t="n"/>
      <c r="F45" s="181" t="n"/>
      <c r="G45" s="200" t="n"/>
    </row>
    <row r="46">
      <c r="A46" s="180" t="inlineStr">
        <is>
          <t>4 WEEKS</t>
        </is>
      </c>
      <c r="B46" s="178" t="n"/>
      <c r="C46" s="179" t="n"/>
      <c r="D46" s="179" t="n"/>
      <c r="E46" s="180" t="n"/>
      <c r="F46" s="181" t="n"/>
      <c r="G46" s="200" t="n"/>
    </row>
    <row r="47">
      <c r="A47" s="180" t="inlineStr">
        <is>
          <t>4 WEEKS</t>
        </is>
      </c>
      <c r="B47" s="178" t="n"/>
      <c r="C47" s="179" t="n"/>
      <c r="D47" s="179" t="n"/>
      <c r="E47" s="180" t="n"/>
      <c r="F47" s="181" t="n"/>
      <c r="G47" s="200" t="n"/>
    </row>
    <row r="48">
      <c r="A48" s="180" t="inlineStr">
        <is>
          <t>4 WEEKS</t>
        </is>
      </c>
      <c r="B48" s="178" t="n"/>
      <c r="C48" s="179" t="n"/>
      <c r="D48" s="179" t="n"/>
      <c r="E48" s="180" t="n"/>
      <c r="F48" s="181" t="n"/>
      <c r="G48" s="200" t="n"/>
    </row>
    <row r="49">
      <c r="A49" s="180" t="inlineStr">
        <is>
          <t>4 WEEKS</t>
        </is>
      </c>
      <c r="B49" s="178" t="n"/>
      <c r="C49" s="179" t="n"/>
      <c r="D49" s="179" t="n"/>
      <c r="E49" s="180" t="n"/>
      <c r="F49" s="181" t="n"/>
      <c r="G49" s="200" t="n"/>
    </row>
    <row r="50">
      <c r="A50" s="180" t="inlineStr">
        <is>
          <t>4 WEEKS</t>
        </is>
      </c>
      <c r="B50" s="178" t="n"/>
      <c r="C50" s="179" t="n"/>
      <c r="D50" s="179" t="n"/>
      <c r="E50" s="180" t="n"/>
      <c r="F50" s="181" t="n"/>
      <c r="G50" s="200" t="n"/>
    </row>
    <row r="51">
      <c r="A51" s="180" t="inlineStr">
        <is>
          <t>4 WEEKS</t>
        </is>
      </c>
      <c r="B51" s="178" t="n"/>
      <c r="C51" s="179" t="n"/>
      <c r="D51" s="179" t="n"/>
      <c r="E51" s="180" t="n"/>
      <c r="F51" s="181" t="n"/>
      <c r="G51" s="200" t="n"/>
    </row>
    <row r="52">
      <c r="A52" s="180" t="inlineStr">
        <is>
          <t>4 WEEKS</t>
        </is>
      </c>
      <c r="B52" s="178" t="n"/>
      <c r="C52" s="179" t="n"/>
      <c r="D52" s="179" t="n"/>
      <c r="E52" s="180" t="n"/>
      <c r="F52" s="181" t="n"/>
      <c r="G52" s="200" t="n"/>
    </row>
    <row r="53">
      <c r="A53" s="180" t="inlineStr">
        <is>
          <t>4 WEEKS</t>
        </is>
      </c>
      <c r="B53" s="178" t="n"/>
      <c r="C53" s="179" t="n"/>
      <c r="D53" s="179" t="n"/>
      <c r="E53" s="180" t="n"/>
      <c r="F53" s="181" t="n"/>
      <c r="G53" s="200" t="n"/>
    </row>
    <row r="54">
      <c r="A54" s="180" t="inlineStr">
        <is>
          <t>4 WEEKS</t>
        </is>
      </c>
      <c r="B54" s="178" t="n"/>
      <c r="C54" s="179" t="n"/>
      <c r="D54" s="179" t="n"/>
      <c r="E54" s="180" t="n"/>
      <c r="F54" s="181" t="n"/>
      <c r="G54" s="200" t="n"/>
    </row>
    <row r="55">
      <c r="A55" s="180" t="inlineStr">
        <is>
          <t>4 WEEKS</t>
        </is>
      </c>
      <c r="B55" s="178" t="n"/>
      <c r="C55" s="179" t="n"/>
      <c r="D55" s="179" t="n"/>
      <c r="E55" s="180" t="n"/>
      <c r="F55" s="181" t="n"/>
      <c r="G55" s="200" t="n"/>
    </row>
    <row r="56">
      <c r="A56" s="180" t="inlineStr">
        <is>
          <t>4 WEEKS</t>
        </is>
      </c>
      <c r="B56" s="178" t="n"/>
      <c r="C56" s="179" t="n"/>
      <c r="D56" s="179" t="n"/>
      <c r="E56" s="180" t="n"/>
      <c r="F56" s="181" t="n"/>
      <c r="G56" s="200" t="n"/>
    </row>
    <row r="57">
      <c r="A57" s="17" t="n"/>
      <c r="B57" s="17" t="n"/>
      <c r="C57" s="17" t="n"/>
      <c r="D57" s="17" t="n"/>
      <c r="E57" s="17" t="n"/>
      <c r="F57" s="17" t="n"/>
      <c r="G57" s="17" t="n"/>
    </row>
    <row r="58">
      <c r="A58" s="17" t="n"/>
      <c r="B58" s="17" t="n"/>
      <c r="C58" s="17" t="n"/>
      <c r="D58" s="17" t="n"/>
      <c r="E58" s="17" t="n"/>
      <c r="F58" s="17" t="n"/>
      <c r="G58" s="17" t="n"/>
    </row>
    <row r="59">
      <c r="A59" s="17" t="n"/>
      <c r="B59" s="17" t="n"/>
      <c r="C59" s="17" t="n"/>
      <c r="D59" s="17" t="n"/>
      <c r="E59" s="17" t="n"/>
      <c r="F59" s="17" t="n"/>
      <c r="G59" s="17" t="n"/>
    </row>
    <row r="60">
      <c r="A60" s="17" t="n"/>
      <c r="B60" s="17" t="n"/>
      <c r="C60" s="17" t="n"/>
      <c r="D60" s="17" t="n"/>
      <c r="E60" s="17" t="n"/>
      <c r="F60" s="17" t="n"/>
      <c r="G60" s="17" t="n"/>
    </row>
    <row r="61">
      <c r="A61" s="17" t="n"/>
      <c r="B61" s="17" t="n"/>
      <c r="C61" s="17" t="n"/>
      <c r="D61" s="17" t="n"/>
      <c r="E61" s="17" t="n"/>
      <c r="F61" s="17" t="n"/>
      <c r="G61" s="17" t="n"/>
    </row>
    <row r="62">
      <c r="A62" s="17" t="n"/>
      <c r="B62" s="17" t="n"/>
      <c r="C62" s="17" t="n"/>
      <c r="D62" s="17" t="n"/>
      <c r="E62" s="17" t="n"/>
      <c r="F62" s="17" t="n"/>
      <c r="G62" s="17" t="n"/>
    </row>
    <row r="63">
      <c r="A63" s="17" t="n"/>
      <c r="B63" s="17" t="n"/>
      <c r="C63" s="17" t="n"/>
      <c r="D63" s="17" t="n"/>
      <c r="E63" s="17" t="n"/>
      <c r="F63" s="17" t="n"/>
      <c r="G63" s="17" t="n"/>
    </row>
    <row r="64">
      <c r="A64" s="17" t="n"/>
      <c r="B64" s="17" t="n"/>
      <c r="C64" s="17" t="n"/>
      <c r="D64" s="17" t="n"/>
      <c r="E64" s="17" t="n"/>
      <c r="F64" s="17" t="n"/>
      <c r="G64" s="17" t="n"/>
    </row>
    <row r="65">
      <c r="A65" s="17" t="n"/>
      <c r="B65" s="17" t="n"/>
      <c r="C65" s="17" t="n"/>
      <c r="D65" s="17" t="n"/>
      <c r="E65" s="17" t="n"/>
      <c r="F65" s="17" t="n"/>
      <c r="G65" s="17" t="n"/>
    </row>
    <row r="66">
      <c r="A66" s="17" t="n"/>
      <c r="B66" s="17" t="n"/>
      <c r="C66" s="17" t="n"/>
      <c r="D66" s="17" t="n"/>
      <c r="E66" s="17" t="n"/>
      <c r="F66" s="17" t="n"/>
      <c r="G66" s="17" t="n"/>
    </row>
    <row r="67">
      <c r="A67" s="17" t="n"/>
      <c r="B67" s="17" t="n"/>
      <c r="C67" s="17" t="n"/>
      <c r="D67" s="17" t="n"/>
      <c r="E67" s="17" t="n"/>
      <c r="F67" s="17" t="n"/>
      <c r="G67" s="17" t="n"/>
    </row>
    <row r="68">
      <c r="A68" s="17" t="n"/>
      <c r="B68" s="17" t="n"/>
      <c r="C68" s="17" t="n"/>
      <c r="D68" s="17" t="n"/>
      <c r="E68" s="17" t="n"/>
      <c r="F68" s="17" t="n"/>
      <c r="G68" s="17" t="n"/>
    </row>
    <row r="69">
      <c r="A69" s="17" t="n"/>
      <c r="B69" s="17" t="n"/>
      <c r="C69" s="17" t="n"/>
      <c r="D69" s="17" t="n"/>
      <c r="E69" s="17" t="n"/>
      <c r="F69" s="17" t="n"/>
      <c r="G69" s="17" t="n"/>
    </row>
    <row r="70">
      <c r="A70" s="17" t="n"/>
      <c r="B70" s="17" t="n"/>
      <c r="C70" s="17" t="n"/>
      <c r="D70" s="17" t="n"/>
      <c r="E70" s="17" t="n"/>
      <c r="F70" s="17" t="n"/>
      <c r="G70" s="17" t="n"/>
    </row>
    <row r="71">
      <c r="A71" s="17" t="n"/>
      <c r="B71" s="17" t="n"/>
      <c r="C71" s="17" t="n"/>
      <c r="D71" s="17" t="n"/>
      <c r="E71" s="17" t="n"/>
      <c r="F71" s="17" t="n"/>
      <c r="G71" s="17" t="n"/>
    </row>
    <row r="72">
      <c r="A72" s="17" t="n"/>
      <c r="B72" s="17" t="n"/>
      <c r="C72" s="17" t="n"/>
      <c r="D72" s="17" t="n"/>
      <c r="E72" s="17" t="n"/>
      <c r="F72" s="17" t="n"/>
      <c r="G72" s="17" t="n"/>
    </row>
    <row r="73">
      <c r="A73" s="17" t="n"/>
      <c r="B73" s="17" t="n"/>
      <c r="C73" s="17" t="n"/>
      <c r="D73" s="17" t="n"/>
      <c r="E73" s="17" t="n"/>
      <c r="F73" s="17" t="n"/>
      <c r="G73" s="17" t="n"/>
    </row>
    <row r="74">
      <c r="A74" s="17" t="n"/>
      <c r="B74" s="17" t="n"/>
      <c r="C74" s="17" t="n"/>
      <c r="D74" s="17" t="n"/>
      <c r="E74" s="17" t="n"/>
      <c r="F74" s="17" t="n"/>
      <c r="G74" s="17" t="n"/>
    </row>
    <row r="75">
      <c r="A75" s="17" t="n"/>
      <c r="B75" s="17" t="n"/>
      <c r="C75" s="17" t="n"/>
      <c r="D75" s="17" t="n"/>
      <c r="E75" s="17" t="n"/>
      <c r="F75" s="17" t="n"/>
      <c r="G75" s="17" t="n"/>
    </row>
    <row r="76">
      <c r="A76" s="17" t="n"/>
      <c r="B76" s="17" t="n"/>
      <c r="C76" s="17" t="n"/>
      <c r="D76" s="17" t="n"/>
      <c r="E76" s="17" t="n"/>
      <c r="F76" s="17" t="n"/>
      <c r="G76" s="17" t="n"/>
    </row>
    <row r="77">
      <c r="A77" s="17" t="n"/>
      <c r="B77" s="17" t="n"/>
      <c r="C77" s="17" t="n"/>
      <c r="D77" s="17" t="n"/>
      <c r="E77" s="17" t="n"/>
      <c r="F77" s="17" t="n"/>
      <c r="G77" s="17" t="n"/>
    </row>
    <row r="78">
      <c r="A78" s="17" t="n"/>
      <c r="B78" s="17" t="n"/>
      <c r="C78" s="17" t="n"/>
      <c r="D78" s="17" t="n"/>
      <c r="E78" s="17" t="n"/>
      <c r="F78" s="17" t="n"/>
      <c r="G78" s="17" t="n"/>
    </row>
    <row r="79">
      <c r="A79" s="17" t="n"/>
      <c r="B79" s="17" t="n"/>
      <c r="C79" s="17" t="n"/>
      <c r="D79" s="17" t="n"/>
      <c r="E79" s="17" t="n"/>
      <c r="F79" s="17" t="n"/>
      <c r="G79" s="17" t="n"/>
    </row>
    <row r="80">
      <c r="A80" s="17" t="n"/>
      <c r="B80" s="17" t="n"/>
      <c r="C80" s="17" t="n"/>
      <c r="D80" s="17" t="n"/>
      <c r="E80" s="17" t="n"/>
      <c r="F80" s="17" t="n"/>
      <c r="G80" s="17" t="n"/>
    </row>
    <row r="81">
      <c r="A81" s="17" t="n"/>
      <c r="B81" s="17" t="n"/>
      <c r="C81" s="17" t="n"/>
      <c r="D81" s="17" t="n"/>
      <c r="E81" s="17" t="n"/>
      <c r="F81" s="17" t="n"/>
      <c r="G81" s="17" t="n"/>
    </row>
    <row r="82">
      <c r="A82" s="17" t="n"/>
      <c r="B82" s="17" t="n"/>
      <c r="C82" s="17" t="n"/>
      <c r="D82" s="17" t="n"/>
      <c r="E82" s="17" t="n"/>
      <c r="F82" s="17" t="n"/>
      <c r="G82" s="17" t="n"/>
    </row>
    <row r="83">
      <c r="A83" s="17" t="n"/>
      <c r="B83" s="17" t="n"/>
      <c r="C83" s="17" t="n"/>
      <c r="D83" s="17" t="n"/>
      <c r="E83" s="17" t="n"/>
      <c r="F83" s="17" t="n"/>
      <c r="G83" s="17" t="n"/>
    </row>
    <row r="84">
      <c r="A84" s="17" t="n"/>
      <c r="B84" s="17" t="n"/>
      <c r="C84" s="17" t="n"/>
      <c r="D84" s="17" t="n"/>
      <c r="E84" s="17" t="n"/>
      <c r="F84" s="17" t="n"/>
      <c r="G84" s="17" t="n"/>
    </row>
    <row r="85">
      <c r="A85" s="17" t="n"/>
      <c r="B85" s="17" t="n"/>
      <c r="C85" s="17" t="n"/>
      <c r="D85" s="17" t="n"/>
      <c r="E85" s="17" t="n"/>
      <c r="F85" s="17" t="n"/>
      <c r="G85" s="17" t="n"/>
    </row>
    <row r="86">
      <c r="A86" s="17" t="n"/>
      <c r="B86" s="17" t="n"/>
      <c r="C86" s="17" t="n"/>
      <c r="D86" s="17" t="n"/>
      <c r="E86" s="17" t="n"/>
      <c r="F86" s="17" t="n"/>
      <c r="G86" s="17" t="n"/>
    </row>
    <row r="87">
      <c r="A87" s="17" t="n"/>
      <c r="B87" s="17" t="n"/>
      <c r="C87" s="17" t="n"/>
      <c r="D87" s="17" t="n"/>
      <c r="E87" s="17" t="n"/>
      <c r="F87" s="17" t="n"/>
      <c r="G87" s="17" t="n"/>
    </row>
    <row r="88">
      <c r="A88" s="17" t="n"/>
      <c r="B88" s="17" t="n"/>
      <c r="C88" s="17" t="n"/>
      <c r="D88" s="17" t="n"/>
      <c r="E88" s="17" t="n"/>
      <c r="F88" s="17" t="n"/>
      <c r="G88" s="17" t="n"/>
    </row>
    <row r="89">
      <c r="A89" s="17" t="n"/>
      <c r="B89" s="17" t="n"/>
      <c r="C89" s="17" t="n"/>
      <c r="D89" s="17" t="n"/>
      <c r="E89" s="17" t="n"/>
      <c r="F89" s="17" t="n"/>
      <c r="G89" s="17" t="n"/>
    </row>
    <row r="90">
      <c r="A90" s="17" t="n"/>
      <c r="B90" s="17" t="n"/>
      <c r="C90" s="17" t="n"/>
      <c r="D90" s="17" t="n"/>
      <c r="E90" s="17" t="n"/>
      <c r="F90" s="17" t="n"/>
      <c r="G90" s="17" t="n"/>
    </row>
    <row r="91">
      <c r="A91" s="17" t="n"/>
      <c r="B91" s="17" t="n"/>
      <c r="C91" s="17" t="n"/>
      <c r="D91" s="17" t="n"/>
      <c r="E91" s="17" t="n"/>
      <c r="F91" s="17" t="n"/>
      <c r="G91" s="17" t="n"/>
    </row>
    <row r="92">
      <c r="A92" s="17" t="n"/>
      <c r="B92" s="17" t="n"/>
      <c r="C92" s="17" t="n"/>
      <c r="D92" s="17" t="n"/>
      <c r="E92" s="17" t="n"/>
      <c r="F92" s="17" t="n"/>
      <c r="G92" s="17" t="n"/>
    </row>
    <row r="93">
      <c r="A93" s="17" t="n"/>
      <c r="B93" s="17" t="n"/>
      <c r="C93" s="17" t="n"/>
      <c r="D93" s="17" t="n"/>
      <c r="E93" s="17" t="n"/>
      <c r="F93" s="17" t="n"/>
      <c r="G93" s="17" t="n"/>
    </row>
    <row r="94">
      <c r="A94" s="17" t="n"/>
      <c r="B94" s="17" t="n"/>
      <c r="C94" s="17" t="n"/>
      <c r="D94" s="17" t="n"/>
      <c r="E94" s="17" t="n"/>
      <c r="F94" s="17" t="n"/>
      <c r="G94" s="17" t="n"/>
    </row>
    <row r="95">
      <c r="A95" s="17" t="n"/>
      <c r="B95" s="17" t="n"/>
      <c r="C95" s="17" t="n"/>
      <c r="D95" s="17" t="n"/>
      <c r="E95" s="17" t="n"/>
      <c r="F95" s="17" t="n"/>
      <c r="G95" s="17" t="n"/>
    </row>
    <row r="96">
      <c r="A96" s="17" t="n"/>
      <c r="B96" s="17" t="n"/>
      <c r="C96" s="17" t="n"/>
      <c r="D96" s="17" t="n"/>
      <c r="E96" s="17" t="n"/>
      <c r="F96" s="17" t="n"/>
      <c r="G96" s="17" t="n"/>
    </row>
    <row r="97">
      <c r="A97" s="17" t="n"/>
      <c r="B97" s="17" t="n"/>
      <c r="C97" s="17" t="n"/>
      <c r="D97" s="17" t="n"/>
      <c r="E97" s="17" t="n"/>
      <c r="F97" s="17" t="n"/>
      <c r="G97" s="17" t="n"/>
    </row>
    <row r="98">
      <c r="A98" s="17" t="n"/>
      <c r="B98" s="17" t="n"/>
      <c r="C98" s="17" t="n"/>
      <c r="D98" s="17" t="n"/>
      <c r="E98" s="17" t="n"/>
      <c r="F98" s="17" t="n"/>
      <c r="G98" s="17" t="n"/>
    </row>
    <row r="99">
      <c r="A99" s="17" t="n"/>
      <c r="B99" s="17" t="n"/>
      <c r="C99" s="17" t="n"/>
      <c r="D99" s="17" t="n"/>
      <c r="E99" s="17" t="n"/>
      <c r="F99" s="17" t="n"/>
      <c r="G99" s="17" t="n"/>
    </row>
    <row r="100">
      <c r="A100" s="17" t="n"/>
      <c r="B100" s="17" t="n"/>
      <c r="C100" s="17" t="n"/>
      <c r="D100" s="17" t="n"/>
      <c r="E100" s="17" t="n"/>
      <c r="F100" s="17" t="n"/>
      <c r="G100" s="17" t="n"/>
    </row>
    <row r="101">
      <c r="A101" s="17" t="n"/>
      <c r="B101" s="17" t="n"/>
      <c r="C101" s="17" t="n"/>
      <c r="D101" s="17" t="n"/>
      <c r="E101" s="17" t="n"/>
      <c r="F101" s="17" t="n"/>
      <c r="G101" s="17" t="n"/>
    </row>
    <row r="102">
      <c r="A102" s="17" t="n"/>
      <c r="B102" s="17" t="n"/>
      <c r="C102" s="17" t="n"/>
      <c r="D102" s="17" t="n"/>
      <c r="E102" s="17" t="n"/>
      <c r="F102" s="17" t="n"/>
      <c r="G102" s="17" t="n"/>
    </row>
    <row r="103">
      <c r="A103" s="17" t="n"/>
      <c r="B103" s="17" t="n"/>
      <c r="C103" s="17" t="n"/>
      <c r="D103" s="17" t="n"/>
      <c r="E103" s="17" t="n"/>
      <c r="F103" s="17" t="n"/>
      <c r="G103" s="17" t="n"/>
    </row>
    <row r="104">
      <c r="A104" s="17" t="n"/>
      <c r="B104" s="17" t="n"/>
      <c r="C104" s="17" t="n"/>
      <c r="D104" s="17" t="n"/>
      <c r="E104" s="17" t="n"/>
      <c r="F104" s="17" t="n"/>
      <c r="G104" s="17" t="n"/>
    </row>
    <row r="105">
      <c r="A105" s="17" t="n"/>
      <c r="B105" s="17" t="n"/>
      <c r="C105" s="17" t="n"/>
      <c r="D105" s="17" t="n"/>
      <c r="E105" s="17" t="n"/>
      <c r="F105" s="17" t="n"/>
      <c r="G105" s="17" t="n"/>
    </row>
    <row r="106">
      <c r="A106" s="17" t="n"/>
      <c r="B106" s="17" t="n"/>
      <c r="C106" s="17" t="n"/>
      <c r="D106" s="17" t="n"/>
      <c r="E106" s="17" t="n"/>
      <c r="F106" s="17" t="n"/>
      <c r="G106" s="17" t="n"/>
    </row>
    <row r="107">
      <c r="A107" s="17" t="n"/>
      <c r="B107" s="17" t="n"/>
      <c r="C107" s="17" t="n"/>
      <c r="D107" s="17" t="n"/>
      <c r="E107" s="17" t="n"/>
      <c r="F107" s="17" t="n"/>
      <c r="G107" s="17" t="n"/>
    </row>
    <row r="108">
      <c r="A108" s="17" t="n"/>
      <c r="B108" s="17" t="n"/>
      <c r="C108" s="17" t="n"/>
      <c r="D108" s="17" t="n"/>
      <c r="E108" s="17" t="n"/>
      <c r="F108" s="17" t="n"/>
      <c r="G108" s="17" t="n"/>
    </row>
    <row r="109">
      <c r="A109" s="17" t="n"/>
      <c r="B109" s="17" t="n"/>
      <c r="C109" s="17" t="n"/>
      <c r="D109" s="17" t="n"/>
      <c r="E109" s="17" t="n"/>
      <c r="F109" s="17" t="n"/>
      <c r="G109" s="17" t="n"/>
    </row>
    <row r="110">
      <c r="A110" s="17" t="n"/>
      <c r="B110" s="17" t="n"/>
      <c r="C110" s="17" t="n"/>
      <c r="D110" s="17" t="n"/>
      <c r="E110" s="17" t="n"/>
      <c r="F110" s="17" t="n"/>
      <c r="G110" s="17" t="n"/>
    </row>
    <row r="111">
      <c r="A111" s="17" t="n"/>
      <c r="B111" s="17" t="n"/>
      <c r="C111" s="17" t="n"/>
      <c r="D111" s="17" t="n"/>
      <c r="E111" s="17" t="n"/>
      <c r="F111" s="17" t="n"/>
      <c r="G111" s="17" t="n"/>
    </row>
    <row r="112">
      <c r="A112" s="17" t="n"/>
      <c r="B112" s="17" t="n"/>
      <c r="C112" s="17" t="n"/>
      <c r="D112" s="17" t="n"/>
      <c r="E112" s="17" t="n"/>
      <c r="F112" s="17" t="n"/>
      <c r="G112" s="17" t="n"/>
    </row>
    <row r="113">
      <c r="A113" s="17" t="n"/>
      <c r="B113" s="17" t="n"/>
      <c r="C113" s="17" t="n"/>
      <c r="D113" s="17" t="n"/>
      <c r="E113" s="17" t="n"/>
      <c r="F113" s="17" t="n"/>
      <c r="G113" s="17" t="n"/>
    </row>
    <row r="114">
      <c r="A114" s="17" t="n"/>
      <c r="B114" s="17" t="n"/>
      <c r="C114" s="17" t="n"/>
      <c r="D114" s="17" t="n"/>
      <c r="E114" s="17" t="n"/>
      <c r="F114" s="17" t="n"/>
      <c r="G114" s="17" t="n"/>
    </row>
    <row r="115">
      <c r="A115" s="17" t="n"/>
      <c r="B115" s="17" t="n"/>
      <c r="C115" s="17" t="n"/>
      <c r="D115" s="17" t="n"/>
      <c r="E115" s="17" t="n"/>
      <c r="F115" s="17" t="n"/>
      <c r="G115" s="17" t="n"/>
    </row>
    <row r="116">
      <c r="A116" s="17" t="n"/>
      <c r="B116" s="17" t="n"/>
      <c r="C116" s="17" t="n"/>
      <c r="D116" s="17" t="n"/>
      <c r="E116" s="17" t="n"/>
      <c r="F116" s="17" t="n"/>
      <c r="G116" s="17" t="n"/>
    </row>
    <row r="117">
      <c r="A117" s="17" t="n"/>
      <c r="B117" s="17" t="n"/>
      <c r="C117" s="17" t="n"/>
      <c r="D117" s="17" t="n"/>
      <c r="E117" s="17" t="n"/>
      <c r="F117" s="17" t="n"/>
      <c r="G117" s="17" t="n"/>
    </row>
    <row r="118">
      <c r="A118" s="17" t="n"/>
      <c r="B118" s="17" t="n"/>
      <c r="C118" s="17" t="n"/>
      <c r="D118" s="17" t="n"/>
      <c r="E118" s="17" t="n"/>
      <c r="F118" s="17" t="n"/>
      <c r="G118" s="17" t="n"/>
    </row>
    <row r="119">
      <c r="A119" s="17" t="n"/>
      <c r="B119" s="17" t="n"/>
      <c r="C119" s="17" t="n"/>
      <c r="D119" s="17" t="n"/>
      <c r="E119" s="17" t="n"/>
      <c r="F119" s="17" t="n"/>
      <c r="G119" s="17" t="n"/>
    </row>
    <row r="120">
      <c r="A120" s="17" t="n"/>
      <c r="B120" s="17" t="n"/>
      <c r="C120" s="17" t="n"/>
      <c r="D120" s="17" t="n"/>
      <c r="E120" s="17" t="n"/>
      <c r="F120" s="17" t="n"/>
      <c r="G120" s="17" t="n"/>
    </row>
    <row r="121">
      <c r="A121" s="17" t="n"/>
      <c r="B121" s="17" t="n"/>
      <c r="C121" s="17" t="n"/>
      <c r="D121" s="17" t="n"/>
      <c r="E121" s="17" t="n"/>
      <c r="F121" s="17" t="n"/>
      <c r="G121" s="17" t="n"/>
    </row>
    <row r="122">
      <c r="A122" s="17" t="n"/>
      <c r="B122" s="17" t="n"/>
      <c r="C122" s="17" t="n"/>
      <c r="D122" s="17" t="n"/>
      <c r="E122" s="17" t="n"/>
      <c r="F122" s="17" t="n"/>
      <c r="G122" s="17" t="n"/>
    </row>
    <row r="123">
      <c r="A123" s="17" t="n"/>
      <c r="B123" s="17" t="n"/>
      <c r="C123" s="17" t="n"/>
      <c r="D123" s="17" t="n"/>
      <c r="E123" s="17" t="n"/>
      <c r="F123" s="17" t="n"/>
      <c r="G123" s="17" t="n"/>
    </row>
    <row r="124">
      <c r="A124" s="17" t="n"/>
      <c r="B124" s="17" t="n"/>
      <c r="C124" s="17" t="n"/>
      <c r="D124" s="17" t="n"/>
      <c r="E124" s="17" t="n"/>
      <c r="F124" s="17" t="n"/>
      <c r="G124" s="17" t="n"/>
    </row>
    <row r="125">
      <c r="A125" s="17" t="n"/>
      <c r="B125" s="17" t="n"/>
      <c r="C125" s="17" t="n"/>
      <c r="D125" s="17" t="n"/>
      <c r="E125" s="17" t="n"/>
      <c r="F125" s="17" t="n"/>
      <c r="G125" s="17" t="n"/>
    </row>
    <row r="126">
      <c r="A126" s="17" t="n"/>
      <c r="B126" s="17" t="n"/>
      <c r="C126" s="17" t="n"/>
      <c r="D126" s="17" t="n"/>
      <c r="E126" s="17" t="n"/>
      <c r="F126" s="17" t="n"/>
      <c r="G126" s="17" t="n"/>
    </row>
    <row r="127">
      <c r="A127" s="17" t="n"/>
      <c r="B127" s="17" t="n"/>
      <c r="C127" s="17" t="n"/>
      <c r="D127" s="17" t="n"/>
      <c r="E127" s="17" t="n"/>
      <c r="F127" s="17" t="n"/>
      <c r="G127" s="17" t="n"/>
    </row>
    <row r="128">
      <c r="A128" s="17" t="n"/>
      <c r="B128" s="17" t="n"/>
      <c r="C128" s="17" t="n"/>
      <c r="D128" s="17" t="n"/>
      <c r="E128" s="17" t="n"/>
      <c r="F128" s="17" t="n"/>
      <c r="G128" s="17" t="n"/>
    </row>
    <row r="129">
      <c r="A129" s="17" t="n"/>
      <c r="B129" s="17" t="n"/>
      <c r="C129" s="17" t="n"/>
      <c r="D129" s="17" t="n"/>
      <c r="E129" s="17" t="n"/>
      <c r="F129" s="17" t="n"/>
      <c r="G129" s="17" t="n"/>
    </row>
    <row r="130">
      <c r="A130" s="17" t="n"/>
      <c r="B130" s="17" t="n"/>
      <c r="C130" s="17" t="n"/>
      <c r="D130" s="17" t="n"/>
      <c r="E130" s="17" t="n"/>
      <c r="F130" s="17" t="n"/>
      <c r="G130" s="17" t="n"/>
    </row>
    <row r="131">
      <c r="A131" s="17" t="n"/>
      <c r="B131" s="17" t="n"/>
      <c r="C131" s="17" t="n"/>
      <c r="D131" s="17" t="n"/>
      <c r="E131" s="17" t="n"/>
      <c r="F131" s="17" t="n"/>
      <c r="G131" s="17" t="n"/>
    </row>
    <row r="132">
      <c r="A132" s="17" t="n"/>
      <c r="B132" s="17" t="n"/>
      <c r="C132" s="17" t="n"/>
      <c r="D132" s="17" t="n"/>
      <c r="E132" s="17" t="n"/>
      <c r="F132" s="17" t="n"/>
      <c r="G132" s="17" t="n"/>
    </row>
    <row r="133">
      <c r="A133" s="17" t="n"/>
      <c r="B133" s="17" t="n"/>
      <c r="C133" s="17" t="n"/>
      <c r="D133" s="17" t="n"/>
      <c r="E133" s="17" t="n"/>
      <c r="F133" s="17" t="n"/>
      <c r="G133" s="17" t="n"/>
    </row>
    <row r="134">
      <c r="A134" s="17" t="n"/>
      <c r="B134" s="17" t="n"/>
      <c r="C134" s="17" t="n"/>
      <c r="D134" s="17" t="n"/>
      <c r="E134" s="17" t="n"/>
      <c r="F134" s="17" t="n"/>
      <c r="G134" s="17" t="n"/>
    </row>
    <row r="135">
      <c r="A135" s="17" t="n"/>
      <c r="B135" s="17" t="n"/>
      <c r="C135" s="17" t="n"/>
      <c r="D135" s="17" t="n"/>
      <c r="E135" s="17" t="n"/>
      <c r="F135" s="17" t="n"/>
      <c r="G135" s="17" t="n"/>
    </row>
    <row r="136">
      <c r="A136" s="17" t="n"/>
      <c r="B136" s="17" t="n"/>
      <c r="C136" s="17" t="n"/>
      <c r="D136" s="17" t="n"/>
      <c r="E136" s="17" t="n"/>
      <c r="F136" s="17" t="n"/>
      <c r="G136" s="17" t="n"/>
    </row>
    <row r="137">
      <c r="A137" s="17" t="n"/>
      <c r="B137" s="17" t="n"/>
      <c r="C137" s="17" t="n"/>
      <c r="D137" s="17" t="n"/>
      <c r="E137" s="17" t="n"/>
      <c r="F137" s="17" t="n"/>
      <c r="G137" s="17" t="n"/>
    </row>
    <row r="138">
      <c r="A138" s="17" t="n"/>
      <c r="B138" s="17" t="n"/>
      <c r="C138" s="17" t="n"/>
      <c r="D138" s="17" t="n"/>
      <c r="E138" s="17" t="n"/>
      <c r="F138" s="17" t="n"/>
      <c r="G138" s="17" t="n"/>
    </row>
    <row r="139">
      <c r="A139" s="17" t="n"/>
      <c r="B139" s="17" t="n"/>
      <c r="C139" s="17" t="n"/>
      <c r="D139" s="17" t="n"/>
      <c r="E139" s="17" t="n"/>
      <c r="F139" s="17" t="n"/>
      <c r="G139" s="17" t="n"/>
    </row>
    <row r="140">
      <c r="A140" s="17" t="n"/>
      <c r="B140" s="17" t="n"/>
      <c r="C140" s="17" t="n"/>
      <c r="D140" s="17" t="n"/>
      <c r="E140" s="17" t="n"/>
      <c r="F140" s="17" t="n"/>
      <c r="G140" s="17" t="n"/>
    </row>
    <row r="141">
      <c r="A141" s="17" t="n"/>
      <c r="B141" s="17" t="n"/>
      <c r="C141" s="17" t="n"/>
      <c r="D141" s="17" t="n"/>
      <c r="E141" s="17" t="n"/>
      <c r="F141" s="17" t="n"/>
      <c r="G141" s="17" t="n"/>
    </row>
    <row r="142">
      <c r="A142" s="17" t="n"/>
      <c r="B142" s="17" t="n"/>
      <c r="C142" s="17" t="n"/>
      <c r="D142" s="17" t="n"/>
      <c r="E142" s="17" t="n"/>
      <c r="F142" s="17" t="n"/>
      <c r="G142" s="17" t="n"/>
    </row>
    <row r="143">
      <c r="A143" s="17" t="n"/>
      <c r="B143" s="17" t="n"/>
      <c r="C143" s="17" t="n"/>
      <c r="D143" s="17" t="n"/>
      <c r="E143" s="17" t="n"/>
      <c r="F143" s="17" t="n"/>
      <c r="G143" s="17" t="n"/>
    </row>
    <row r="144">
      <c r="A144" s="17" t="n"/>
      <c r="B144" s="17" t="n"/>
      <c r="C144" s="17" t="n"/>
      <c r="D144" s="17" t="n"/>
      <c r="E144" s="17" t="n"/>
      <c r="F144" s="17" t="n"/>
      <c r="G144" s="17" t="n"/>
    </row>
    <row r="145">
      <c r="A145" s="17" t="n"/>
      <c r="B145" s="17" t="n"/>
      <c r="C145" s="17" t="n"/>
      <c r="D145" s="17" t="n"/>
      <c r="E145" s="17" t="n"/>
      <c r="F145" s="17" t="n"/>
      <c r="G145" s="17" t="n"/>
    </row>
    <row r="146">
      <c r="A146" s="17" t="n"/>
      <c r="B146" s="17" t="n"/>
      <c r="C146" s="17" t="n"/>
      <c r="D146" s="17" t="n"/>
      <c r="E146" s="17" t="n"/>
      <c r="F146" s="17" t="n"/>
      <c r="G146" s="17" t="n"/>
    </row>
    <row r="147">
      <c r="A147" s="17" t="n"/>
      <c r="B147" s="17" t="n"/>
      <c r="C147" s="17" t="n"/>
      <c r="D147" s="17" t="n"/>
      <c r="E147" s="17" t="n"/>
      <c r="F147" s="17" t="n"/>
      <c r="G147" s="17" t="n"/>
    </row>
    <row r="148">
      <c r="A148" s="17" t="n"/>
      <c r="B148" s="17" t="n"/>
      <c r="C148" s="17" t="n"/>
      <c r="D148" s="17" t="n"/>
      <c r="E148" s="17" t="n"/>
      <c r="F148" s="17" t="n"/>
      <c r="G148" s="17" t="n"/>
    </row>
    <row r="149">
      <c r="A149" s="17" t="n"/>
      <c r="B149" s="17" t="n"/>
      <c r="C149" s="17" t="n"/>
      <c r="D149" s="17" t="n"/>
      <c r="E149" s="17" t="n"/>
      <c r="F149" s="17" t="n"/>
      <c r="G149" s="17" t="n"/>
    </row>
    <row r="150">
      <c r="A150" s="17" t="n"/>
      <c r="B150" s="17" t="n"/>
      <c r="C150" s="17" t="n"/>
      <c r="D150" s="17" t="n"/>
      <c r="E150" s="17" t="n"/>
      <c r="F150" s="17" t="n"/>
      <c r="G150" s="17" t="n"/>
    </row>
    <row r="151">
      <c r="A151" s="17" t="n"/>
      <c r="B151" s="17" t="n"/>
      <c r="C151" s="17" t="n"/>
      <c r="D151" s="17" t="n"/>
      <c r="E151" s="17" t="n"/>
      <c r="F151" s="17" t="n"/>
      <c r="G151" s="17" t="n"/>
    </row>
    <row r="152">
      <c r="A152" s="17" t="n"/>
      <c r="B152" s="17" t="n"/>
      <c r="C152" s="17" t="n"/>
      <c r="D152" s="17" t="n"/>
      <c r="E152" s="17" t="n"/>
      <c r="F152" s="17" t="n"/>
      <c r="G152" s="17" t="n"/>
    </row>
    <row r="153">
      <c r="A153" s="17" t="n"/>
      <c r="B153" s="17" t="n"/>
      <c r="C153" s="17" t="n"/>
      <c r="D153" s="17" t="n"/>
      <c r="E153" s="17" t="n"/>
      <c r="F153" s="17" t="n"/>
      <c r="G153" s="17" t="n"/>
    </row>
    <row r="154">
      <c r="A154" s="17" t="n"/>
      <c r="B154" s="17" t="n"/>
      <c r="C154" s="17" t="n"/>
      <c r="D154" s="17" t="n"/>
      <c r="E154" s="17" t="n"/>
      <c r="F154" s="17" t="n"/>
      <c r="G154" s="17" t="n"/>
    </row>
    <row r="155">
      <c r="A155" s="17" t="n"/>
      <c r="B155" s="17" t="n"/>
      <c r="C155" s="17" t="n"/>
      <c r="D155" s="17" t="n"/>
      <c r="E155" s="17" t="n"/>
      <c r="F155" s="17" t="n"/>
      <c r="G155" s="17" t="n"/>
    </row>
    <row r="156">
      <c r="A156" s="17" t="n"/>
      <c r="B156" s="17" t="n"/>
      <c r="C156" s="17" t="n"/>
      <c r="D156" s="17" t="n"/>
      <c r="E156" s="17" t="n"/>
      <c r="F156" s="17" t="n"/>
      <c r="G156" s="17" t="n"/>
    </row>
    <row r="157">
      <c r="A157" s="17" t="n"/>
      <c r="B157" s="17" t="n"/>
      <c r="C157" s="17" t="n"/>
      <c r="D157" s="17" t="n"/>
      <c r="E157" s="17" t="n"/>
      <c r="F157" s="17" t="n"/>
      <c r="G157" s="17" t="n"/>
    </row>
    <row r="158">
      <c r="A158" s="17" t="n"/>
      <c r="B158" s="17" t="n"/>
      <c r="C158" s="17" t="n"/>
      <c r="D158" s="17" t="n"/>
      <c r="E158" s="17" t="n"/>
      <c r="F158" s="17" t="n"/>
      <c r="G158" s="17" t="n"/>
    </row>
    <row r="159">
      <c r="A159" s="17" t="n"/>
      <c r="B159" s="17" t="n"/>
      <c r="C159" s="17" t="n"/>
      <c r="D159" s="17" t="n"/>
      <c r="E159" s="17" t="n"/>
      <c r="F159" s="17" t="n"/>
      <c r="G159" s="17" t="n"/>
    </row>
    <row r="160">
      <c r="A160" s="17" t="n"/>
      <c r="B160" s="17" t="n"/>
      <c r="C160" s="17" t="n"/>
      <c r="D160" s="17" t="n"/>
      <c r="E160" s="17" t="n"/>
      <c r="F160" s="17" t="n"/>
      <c r="G160" s="17" t="n"/>
    </row>
    <row r="161">
      <c r="A161" s="17" t="n"/>
      <c r="B161" s="17" t="n"/>
      <c r="C161" s="17" t="n"/>
      <c r="D161" s="17" t="n"/>
      <c r="E161" s="17" t="n"/>
      <c r="F161" s="17" t="n"/>
      <c r="G161" s="17" t="n"/>
    </row>
    <row r="162">
      <c r="A162" s="17" t="n"/>
      <c r="B162" s="17" t="n"/>
      <c r="C162" s="17" t="n"/>
      <c r="D162" s="17" t="n"/>
      <c r="E162" s="17" t="n"/>
      <c r="F162" s="17" t="n"/>
      <c r="G162" s="17" t="n"/>
    </row>
    <row r="163">
      <c r="A163" s="17" t="n"/>
      <c r="B163" s="17" t="n"/>
      <c r="C163" s="17" t="n"/>
      <c r="D163" s="17" t="n"/>
      <c r="E163" s="17" t="n"/>
      <c r="F163" s="17" t="n"/>
      <c r="G163" s="17" t="n"/>
    </row>
    <row r="164">
      <c r="A164" s="17" t="n"/>
      <c r="B164" s="17" t="n"/>
      <c r="C164" s="17" t="n"/>
      <c r="D164" s="17" t="n"/>
      <c r="E164" s="17" t="n"/>
      <c r="F164" s="17" t="n"/>
      <c r="G164" s="17" t="n"/>
    </row>
    <row r="165">
      <c r="A165" s="17" t="n"/>
      <c r="B165" s="17" t="n"/>
      <c r="C165" s="17" t="n"/>
      <c r="D165" s="17" t="n"/>
      <c r="E165" s="17" t="n"/>
      <c r="F165" s="17" t="n"/>
      <c r="G165" s="17" t="n"/>
    </row>
    <row r="166">
      <c r="A166" s="17" t="n"/>
      <c r="B166" s="17" t="n"/>
      <c r="C166" s="17" t="n"/>
      <c r="D166" s="17" t="n"/>
      <c r="E166" s="17" t="n"/>
      <c r="F166" s="17" t="n"/>
      <c r="G166" s="17" t="n"/>
    </row>
    <row r="167">
      <c r="A167" s="17" t="n"/>
      <c r="B167" s="17" t="n"/>
      <c r="C167" s="17" t="n"/>
      <c r="D167" s="17" t="n"/>
      <c r="E167" s="17" t="n"/>
      <c r="F167" s="17" t="n"/>
      <c r="G167" s="17" t="n"/>
    </row>
    <row r="168">
      <c r="A168" s="17" t="n"/>
      <c r="B168" s="17" t="n"/>
      <c r="C168" s="17" t="n"/>
      <c r="D168" s="17" t="n"/>
      <c r="E168" s="17" t="n"/>
      <c r="F168" s="17" t="n"/>
      <c r="G168" s="17" t="n"/>
    </row>
    <row r="169">
      <c r="A169" s="17" t="n"/>
      <c r="B169" s="17" t="n"/>
      <c r="C169" s="17" t="n"/>
      <c r="D169" s="17" t="n"/>
      <c r="E169" s="17" t="n"/>
      <c r="F169" s="17" t="n"/>
      <c r="G169" s="17" t="n"/>
    </row>
    <row r="170">
      <c r="A170" s="17" t="n"/>
      <c r="B170" s="17" t="n"/>
      <c r="C170" s="17" t="n"/>
      <c r="D170" s="17" t="n"/>
      <c r="E170" s="17" t="n"/>
      <c r="F170" s="17" t="n"/>
      <c r="G170" s="17" t="n"/>
    </row>
    <row r="171">
      <c r="A171" s="17" t="n"/>
      <c r="B171" s="17" t="n"/>
      <c r="C171" s="17" t="n"/>
      <c r="D171" s="17" t="n"/>
      <c r="E171" s="17" t="n"/>
      <c r="F171" s="17" t="n"/>
      <c r="G171" s="17" t="n"/>
    </row>
    <row r="172">
      <c r="A172" s="17" t="n"/>
      <c r="B172" s="17" t="n"/>
      <c r="C172" s="17" t="n"/>
      <c r="D172" s="17" t="n"/>
      <c r="E172" s="17" t="n"/>
      <c r="F172" s="17" t="n"/>
      <c r="G172" s="17" t="n"/>
    </row>
    <row r="173">
      <c r="A173" s="17" t="n"/>
      <c r="B173" s="17" t="n"/>
      <c r="C173" s="17" t="n"/>
      <c r="D173" s="17" t="n"/>
      <c r="E173" s="17" t="n"/>
      <c r="F173" s="17" t="n"/>
      <c r="G173" s="17" t="n"/>
    </row>
    <row r="174">
      <c r="A174" s="17" t="n"/>
      <c r="B174" s="17" t="n"/>
      <c r="C174" s="17" t="n"/>
      <c r="D174" s="17" t="n"/>
      <c r="E174" s="17" t="n"/>
      <c r="F174" s="17" t="n"/>
      <c r="G174" s="17" t="n"/>
    </row>
    <row r="175">
      <c r="A175" s="17" t="n"/>
      <c r="B175" s="17" t="n"/>
      <c r="C175" s="17" t="n"/>
      <c r="D175" s="17" t="n"/>
      <c r="E175" s="17" t="n"/>
      <c r="F175" s="17" t="n"/>
      <c r="G175" s="17" t="n"/>
    </row>
    <row r="176">
      <c r="A176" s="17" t="n"/>
      <c r="B176" s="17" t="n"/>
      <c r="C176" s="17" t="n"/>
      <c r="D176" s="17" t="n"/>
      <c r="E176" s="17" t="n"/>
      <c r="F176" s="17" t="n"/>
      <c r="G176" s="17" t="n"/>
    </row>
    <row r="177">
      <c r="A177" s="17" t="n"/>
      <c r="B177" s="17" t="n"/>
      <c r="C177" s="17" t="n"/>
      <c r="D177" s="17" t="n"/>
      <c r="E177" s="17" t="n"/>
      <c r="F177" s="17" t="n"/>
      <c r="G177" s="17" t="n"/>
    </row>
    <row r="178">
      <c r="A178" s="17" t="n"/>
      <c r="B178" s="17" t="n"/>
      <c r="C178" s="17" t="n"/>
      <c r="D178" s="17" t="n"/>
      <c r="E178" s="17" t="n"/>
      <c r="F178" s="17" t="n"/>
      <c r="G178" s="17" t="n"/>
    </row>
    <row r="179">
      <c r="A179" s="17" t="n"/>
      <c r="B179" s="17" t="n"/>
      <c r="C179" s="17" t="n"/>
      <c r="D179" s="17" t="n"/>
      <c r="E179" s="17" t="n"/>
      <c r="F179" s="17" t="n"/>
      <c r="G179" s="17" t="n"/>
    </row>
    <row r="180">
      <c r="A180" s="17" t="n"/>
      <c r="B180" s="17" t="n"/>
      <c r="C180" s="17" t="n"/>
      <c r="D180" s="17" t="n"/>
      <c r="E180" s="17" t="n"/>
      <c r="F180" s="17" t="n"/>
      <c r="G180" s="17" t="n"/>
    </row>
    <row r="181">
      <c r="A181" s="17" t="n"/>
      <c r="B181" s="17" t="n"/>
      <c r="C181" s="17" t="n"/>
      <c r="D181" s="17" t="n"/>
      <c r="E181" s="17" t="n"/>
      <c r="F181" s="17" t="n"/>
      <c r="G181" s="17" t="n"/>
    </row>
    <row r="182">
      <c r="A182" s="17" t="n"/>
      <c r="B182" s="17" t="n"/>
      <c r="C182" s="17" t="n"/>
      <c r="D182" s="17" t="n"/>
      <c r="E182" s="17" t="n"/>
      <c r="F182" s="17" t="n"/>
      <c r="G182" s="17" t="n"/>
    </row>
    <row r="183">
      <c r="A183" s="17" t="n"/>
      <c r="B183" s="17" t="n"/>
      <c r="C183" s="17" t="n"/>
      <c r="D183" s="17" t="n"/>
      <c r="E183" s="17" t="n"/>
      <c r="F183" s="17" t="n"/>
      <c r="G183" s="17" t="n"/>
    </row>
    <row r="184">
      <c r="A184" s="17" t="n"/>
      <c r="B184" s="17" t="n"/>
      <c r="C184" s="17" t="n"/>
      <c r="D184" s="17" t="n"/>
      <c r="E184" s="17" t="n"/>
      <c r="F184" s="17" t="n"/>
      <c r="G184" s="17" t="n"/>
    </row>
    <row r="185">
      <c r="A185" s="17" t="n"/>
      <c r="B185" s="17" t="n"/>
      <c r="C185" s="17" t="n"/>
      <c r="D185" s="17" t="n"/>
      <c r="E185" s="17" t="n"/>
      <c r="F185" s="17" t="n"/>
      <c r="G185" s="17" t="n"/>
    </row>
    <row r="186">
      <c r="A186" s="17" t="n"/>
      <c r="B186" s="17" t="n"/>
      <c r="C186" s="17" t="n"/>
      <c r="D186" s="17" t="n"/>
      <c r="E186" s="17" t="n"/>
      <c r="F186" s="17" t="n"/>
      <c r="G186" s="17" t="n"/>
    </row>
    <row r="187">
      <c r="A187" s="17" t="n"/>
      <c r="B187" s="17" t="n"/>
      <c r="C187" s="17" t="n"/>
      <c r="D187" s="17" t="n"/>
      <c r="E187" s="17" t="n"/>
      <c r="F187" s="17" t="n"/>
      <c r="G187" s="17" t="n"/>
    </row>
    <row r="188">
      <c r="A188" s="17" t="n"/>
      <c r="B188" s="17" t="n"/>
      <c r="C188" s="17" t="n"/>
      <c r="D188" s="17" t="n"/>
      <c r="E188" s="17" t="n"/>
      <c r="F188" s="17" t="n"/>
      <c r="G188" s="17" t="n"/>
    </row>
    <row r="189">
      <c r="A189" s="17" t="n"/>
      <c r="B189" s="17" t="n"/>
      <c r="C189" s="17" t="n"/>
      <c r="D189" s="17" t="n"/>
      <c r="E189" s="17" t="n"/>
      <c r="F189" s="17" t="n"/>
      <c r="G189" s="17" t="n"/>
    </row>
    <row r="190">
      <c r="A190" s="17" t="n"/>
      <c r="B190" s="17" t="n"/>
      <c r="C190" s="17" t="n"/>
      <c r="D190" s="17" t="n"/>
      <c r="E190" s="17" t="n"/>
      <c r="F190" s="17" t="n"/>
      <c r="G190" s="17" t="n"/>
    </row>
    <row r="191">
      <c r="A191" s="17" t="n"/>
      <c r="B191" s="17" t="n"/>
      <c r="C191" s="17" t="n"/>
      <c r="D191" s="17" t="n"/>
      <c r="E191" s="17" t="n"/>
      <c r="F191" s="17" t="n"/>
      <c r="G191" s="17" t="n"/>
    </row>
    <row r="192">
      <c r="A192" s="17" t="n"/>
      <c r="B192" s="17" t="n"/>
      <c r="C192" s="17" t="n"/>
      <c r="D192" s="17" t="n"/>
      <c r="E192" s="17" t="n"/>
      <c r="F192" s="17" t="n"/>
      <c r="G192" s="17" t="n"/>
    </row>
    <row r="193">
      <c r="A193" s="17" t="n"/>
      <c r="B193" s="17" t="n"/>
      <c r="C193" s="17" t="n"/>
      <c r="D193" s="17" t="n"/>
      <c r="E193" s="17" t="n"/>
      <c r="F193" s="17" t="n"/>
      <c r="G193" s="17" t="n"/>
    </row>
    <row r="194">
      <c r="A194" s="17" t="n"/>
      <c r="B194" s="17" t="n"/>
      <c r="C194" s="17" t="n"/>
      <c r="D194" s="17" t="n"/>
      <c r="E194" s="17" t="n"/>
      <c r="F194" s="17" t="n"/>
      <c r="G194" s="17" t="n"/>
    </row>
    <row r="195">
      <c r="A195" s="17" t="n"/>
      <c r="B195" s="17" t="n"/>
      <c r="C195" s="17" t="n"/>
      <c r="D195" s="17" t="n"/>
      <c r="E195" s="17" t="n"/>
      <c r="F195" s="17" t="n"/>
      <c r="G195" s="17" t="n"/>
    </row>
    <row r="196">
      <c r="A196" s="17" t="n"/>
      <c r="B196" s="17" t="n"/>
      <c r="C196" s="17" t="n"/>
      <c r="D196" s="17" t="n"/>
      <c r="E196" s="17" t="n"/>
      <c r="F196" s="17" t="n"/>
      <c r="G196" s="17" t="n"/>
    </row>
    <row r="197">
      <c r="A197" s="17" t="n"/>
      <c r="B197" s="17" t="n"/>
      <c r="C197" s="17" t="n"/>
      <c r="D197" s="17" t="n"/>
      <c r="E197" s="17" t="n"/>
      <c r="F197" s="17" t="n"/>
      <c r="G197" s="17" t="n"/>
    </row>
    <row r="198">
      <c r="A198" s="17" t="n"/>
      <c r="B198" s="17" t="n"/>
      <c r="C198" s="17" t="n"/>
      <c r="D198" s="17" t="n"/>
      <c r="E198" s="17" t="n"/>
      <c r="F198" s="17" t="n"/>
      <c r="G198" s="17" t="n"/>
    </row>
    <row r="199">
      <c r="A199" s="17" t="n"/>
      <c r="B199" s="17" t="n"/>
      <c r="C199" s="17" t="n"/>
      <c r="D199" s="17" t="n"/>
      <c r="E199" s="17" t="n"/>
      <c r="F199" s="17" t="n"/>
      <c r="G199" s="17" t="n"/>
    </row>
    <row r="200">
      <c r="A200" s="17" t="n"/>
      <c r="B200" s="17" t="n"/>
      <c r="C200" s="17" t="n"/>
      <c r="D200" s="17" t="n"/>
      <c r="E200" s="17" t="n"/>
      <c r="F200" s="17" t="n"/>
      <c r="G200" s="17" t="n"/>
    </row>
    <row r="201">
      <c r="A201" s="17" t="n"/>
      <c r="B201" s="17" t="n"/>
      <c r="C201" s="17" t="n"/>
      <c r="D201" s="17" t="n"/>
      <c r="E201" s="17" t="n"/>
      <c r="F201" s="17" t="n"/>
      <c r="G201" s="17" t="n"/>
    </row>
    <row r="202">
      <c r="A202" s="17" t="n"/>
      <c r="B202" s="17" t="n"/>
      <c r="C202" s="17" t="n"/>
      <c r="D202" s="17" t="n"/>
      <c r="E202" s="17" t="n"/>
      <c r="F202" s="17" t="n"/>
      <c r="G202" s="17" t="n"/>
    </row>
    <row r="203">
      <c r="A203" s="17" t="n"/>
      <c r="B203" s="17" t="n"/>
      <c r="C203" s="17" t="n"/>
      <c r="D203" s="17" t="n"/>
      <c r="E203" s="17" t="n"/>
      <c r="F203" s="17" t="n"/>
      <c r="G203" s="17" t="n"/>
    </row>
    <row r="204">
      <c r="A204" s="17" t="n"/>
      <c r="B204" s="17" t="n"/>
      <c r="C204" s="17" t="n"/>
      <c r="D204" s="17" t="n"/>
      <c r="E204" s="17" t="n"/>
      <c r="F204" s="17" t="n"/>
      <c r="G204" s="17" t="n"/>
    </row>
    <row r="205">
      <c r="A205" s="17" t="n"/>
      <c r="B205" s="17" t="n"/>
      <c r="C205" s="17" t="n"/>
      <c r="D205" s="17" t="n"/>
      <c r="E205" s="17" t="n"/>
      <c r="F205" s="17" t="n"/>
      <c r="G205" s="17" t="n"/>
    </row>
    <row r="206">
      <c r="A206" s="17" t="n"/>
      <c r="B206" s="17" t="n"/>
      <c r="C206" s="17" t="n"/>
      <c r="D206" s="17" t="n"/>
      <c r="E206" s="17" t="n"/>
      <c r="F206" s="17" t="n"/>
      <c r="G206" s="17" t="n"/>
    </row>
    <row r="207">
      <c r="A207" s="17" t="n"/>
      <c r="B207" s="17" t="n"/>
      <c r="C207" s="17" t="n"/>
      <c r="D207" s="17" t="n"/>
      <c r="E207" s="17" t="n"/>
      <c r="F207" s="17" t="n"/>
      <c r="G207" s="17" t="n"/>
    </row>
    <row r="208">
      <c r="A208" s="17" t="n"/>
      <c r="B208" s="17" t="n"/>
      <c r="C208" s="17" t="n"/>
      <c r="D208" s="17" t="n"/>
      <c r="E208" s="17" t="n"/>
      <c r="F208" s="17" t="n"/>
      <c r="G208" s="17" t="n"/>
    </row>
    <row r="209">
      <c r="A209" s="17" t="n"/>
      <c r="B209" s="17" t="n"/>
      <c r="C209" s="17" t="n"/>
      <c r="D209" s="17" t="n"/>
      <c r="E209" s="17" t="n"/>
      <c r="F209" s="17" t="n"/>
      <c r="G209" s="17" t="n"/>
    </row>
    <row r="210">
      <c r="A210" s="17" t="n"/>
      <c r="B210" s="17" t="n"/>
      <c r="C210" s="17" t="n"/>
      <c r="D210" s="17" t="n"/>
      <c r="E210" s="17" t="n"/>
      <c r="F210" s="17" t="n"/>
      <c r="G210" s="17" t="n"/>
    </row>
    <row r="211">
      <c r="A211" s="17" t="n"/>
      <c r="B211" s="17" t="n"/>
      <c r="C211" s="17" t="n"/>
      <c r="D211" s="17" t="n"/>
      <c r="E211" s="17" t="n"/>
      <c r="F211" s="17" t="n"/>
      <c r="G211" s="17" t="n"/>
    </row>
    <row r="212">
      <c r="A212" s="17" t="n"/>
      <c r="B212" s="17" t="n"/>
      <c r="C212" s="17" t="n"/>
      <c r="D212" s="17" t="n"/>
      <c r="E212" s="17" t="n"/>
      <c r="F212" s="17" t="n"/>
      <c r="G212" s="17" t="n"/>
    </row>
    <row r="213">
      <c r="A213" s="17" t="n"/>
      <c r="B213" s="17" t="n"/>
      <c r="C213" s="17" t="n"/>
      <c r="D213" s="17" t="n"/>
      <c r="E213" s="17" t="n"/>
      <c r="F213" s="17" t="n"/>
      <c r="G213" s="17" t="n"/>
    </row>
    <row r="214">
      <c r="A214" s="17" t="n"/>
      <c r="B214" s="17" t="n"/>
      <c r="C214" s="17" t="n"/>
      <c r="D214" s="17" t="n"/>
      <c r="E214" s="17" t="n"/>
      <c r="F214" s="17" t="n"/>
      <c r="G214" s="17" t="n"/>
    </row>
    <row r="215">
      <c r="A215" s="17" t="n"/>
      <c r="B215" s="17" t="n"/>
      <c r="C215" s="17" t="n"/>
      <c r="D215" s="17" t="n"/>
      <c r="E215" s="17" t="n"/>
      <c r="F215" s="17" t="n"/>
      <c r="G215" s="17" t="n"/>
    </row>
  </sheetData>
  <conditionalFormatting sqref="A7:A8 A9:G11 A12 A13:G56">
    <cfRule type="expression" priority="46" dxfId="2">
      <formula>$A7="4 WEEKS"</formula>
    </cfRule>
    <cfRule type="expression" priority="47" dxfId="1">
      <formula>$A7="PENDING"</formula>
    </cfRule>
    <cfRule type="expression" priority="48" dxfId="0">
      <formula>$A7="2 WEEKS"</formula>
    </cfRule>
  </conditionalFormatting>
  <conditionalFormatting sqref="B7:G7">
    <cfRule type="expression" priority="1" dxfId="2">
      <formula>$A8="4 WEEKS"</formula>
    </cfRule>
    <cfRule type="expression" priority="2" dxfId="1">
      <formula>$A8="PENDING"</formula>
    </cfRule>
    <cfRule type="expression" priority="3" dxfId="0">
      <formula>$A8="2 WEEKS"</formula>
    </cfRule>
  </conditionalFormatting>
  <conditionalFormatting sqref="B7:G8">
    <cfRule type="expression" priority="7" dxfId="2">
      <formula>$A7="4 WEEKS"</formula>
    </cfRule>
    <cfRule type="expression" priority="8" dxfId="1">
      <formula>$A7="PENDING"</formula>
    </cfRule>
    <cfRule type="expression" priority="9" dxfId="0">
      <formula>$A7="2 WEEKS"</formula>
    </cfRule>
  </conditionalFormatting>
  <conditionalFormatting sqref="B8:G8">
    <cfRule type="expression" priority="4" dxfId="2">
      <formula>$A8="4 WEEKS"</formula>
    </cfRule>
    <cfRule type="expression" priority="5" dxfId="1">
      <formula>$A8="PENDING"</formula>
    </cfRule>
    <cfRule type="expression" priority="6" dxfId="0">
      <formula>$A8="2 WEEKS"</formula>
    </cfRule>
    <cfRule type="expression" priority="13" dxfId="2">
      <formula>$A9="4 WEEKS"</formula>
    </cfRule>
    <cfRule type="expression" priority="14" dxfId="1">
      <formula>$A9="PENDING"</formula>
    </cfRule>
    <cfRule type="expression" priority="15" dxfId="0">
      <formula>$A9="2 WEEKS"</formula>
    </cfRule>
  </conditionalFormatting>
  <conditionalFormatting sqref="B12:G12">
    <cfRule type="expression" priority="28" dxfId="2">
      <formula>$A13="4 WEEKS"</formula>
    </cfRule>
    <cfRule type="expression" priority="29" dxfId="1">
      <formula>$A13="PENDING"</formula>
    </cfRule>
    <cfRule type="expression" priority="30" dxfId="0">
      <formula>$A13="2 WEEKS"</formula>
    </cfRule>
  </conditionalFormatting>
  <pageMargins left="0.7" right="0.7" top="0.75" bottom="0.75" header="0.3" footer="0.3"/>
  <pageSetup orientation="portrait" horizontalDpi="1200" verticalDpi="120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2:H22"/>
  <sheetViews>
    <sheetView showGridLines="0" workbookViewId="0">
      <selection activeCell="D28" sqref="D28"/>
    </sheetView>
  </sheetViews>
  <sheetFormatPr baseColWidth="8" defaultRowHeight="15"/>
  <cols>
    <col width="25.7109375" customWidth="1" min="1" max="6"/>
    <col width="19.28515625" customWidth="1" min="7" max="7"/>
    <col width="35.42578125" bestFit="1" customWidth="1" min="8" max="8"/>
  </cols>
  <sheetData>
    <row r="2" ht="26.25" customHeight="1">
      <c r="A2" s="3" t="inlineStr">
        <is>
          <t>Top 20 Customers</t>
        </is>
      </c>
    </row>
    <row r="3">
      <c r="A3" s="16" t="inlineStr">
        <is>
          <t>GDIT ISEE</t>
        </is>
      </c>
      <c r="B3" s="16" t="inlineStr">
        <is>
          <t>Robyn Moses</t>
        </is>
      </c>
      <c r="C3" s="16" t="inlineStr">
        <is>
          <t>Deputy PM</t>
        </is>
      </c>
      <c r="D3" s="16" t="inlineStr">
        <is>
          <t>OOC</t>
        </is>
      </c>
      <c r="E3" s="16" t="inlineStr">
        <is>
          <t>$20K+</t>
        </is>
      </c>
      <c r="F3" s="16" t="inlineStr">
        <is>
          <t>Pending CIS RFP; Extension funding</t>
        </is>
      </c>
      <c r="G3" s="16" t="inlineStr">
        <is>
          <t>Strong relationship, recurring meetings, program insight</t>
        </is>
      </c>
      <c r="H3" s="16" t="inlineStr">
        <is>
          <t>Weekly Recurring</t>
        </is>
      </c>
    </row>
    <row r="4">
      <c r="A4" t="inlineStr">
        <is>
          <t>Peraton NRSIL</t>
        </is>
      </c>
      <c r="B4" t="inlineStr">
        <is>
          <t>Matt Reda</t>
        </is>
      </c>
      <c r="C4" t="inlineStr">
        <is>
          <t>Task Order 3/7 Lead</t>
        </is>
      </c>
      <c r="D4" t="inlineStr">
        <is>
          <t>OOC</t>
        </is>
      </c>
      <c r="E4" s="177" t="inlineStr">
        <is>
          <t>$15K+</t>
        </is>
      </c>
      <c r="F4" t="inlineStr">
        <is>
          <t>CIA contacts leverage opportunity</t>
        </is>
      </c>
      <c r="G4" t="inlineStr">
        <is>
          <t>Recurring meetings, strong referral potential</t>
        </is>
      </c>
      <c r="H4" t="inlineStr">
        <is>
          <t>Bi-Weekly Recurring</t>
        </is>
      </c>
    </row>
    <row r="5">
      <c r="A5" t="inlineStr">
        <is>
          <t>GDIT ISEE</t>
        </is>
      </c>
      <c r="B5" t="inlineStr">
        <is>
          <t>Jennifer Turnbull</t>
        </is>
      </c>
      <c r="C5" t="inlineStr">
        <is>
          <t>Sr Manager Engineering</t>
        </is>
      </c>
      <c r="D5" t="inlineStr">
        <is>
          <t>Client Visit</t>
        </is>
      </c>
      <c r="E5" t="inlineStr">
        <is>
          <t>$0 - New</t>
        </is>
      </c>
      <c r="F5" t="inlineStr">
        <is>
          <t>Engineering staffing needs</t>
        </is>
      </c>
      <c r="G5" t="inlineStr">
        <is>
          <t>New contact, ISEE program access</t>
        </is>
      </c>
      <c r="H5" t="inlineStr">
        <is>
          <t>New Meeting - Follow up needed</t>
        </is>
      </c>
    </row>
    <row r="6">
      <c r="A6" t="inlineStr">
        <is>
          <t>GDIT ISEE</t>
        </is>
      </c>
      <c r="B6" t="inlineStr">
        <is>
          <t>Eileen Esainko</t>
        </is>
      </c>
      <c r="C6" t="inlineStr">
        <is>
          <t>Program Analyst</t>
        </is>
      </c>
      <c r="D6" t="inlineStr">
        <is>
          <t>Client Visit</t>
        </is>
      </c>
      <c r="E6" t="inlineStr">
        <is>
          <t>$0 - New</t>
        </is>
      </c>
      <c r="F6" t="inlineStr">
        <is>
          <t>Program analysis support</t>
        </is>
      </c>
      <c r="G6" t="inlineStr">
        <is>
          <t>ISEE program insider, referral potential</t>
        </is>
      </c>
      <c r="H6" t="inlineStr">
        <is>
          <t>Meeting Completed - Schedule follow up</t>
        </is>
      </c>
    </row>
    <row r="7">
      <c r="A7" t="inlineStr">
        <is>
          <t>GDIT JUSTIFIED</t>
        </is>
      </c>
      <c r="B7" t="inlineStr">
        <is>
          <t>Jonathan Miner</t>
        </is>
      </c>
      <c r="C7" t="inlineStr">
        <is>
          <t>Program Manager</t>
        </is>
      </c>
      <c r="D7" t="inlineStr">
        <is>
          <t>Active</t>
        </is>
      </c>
      <c r="E7" t="inlineStr">
        <is>
          <t>$10K+</t>
        </is>
      </c>
      <c r="F7" t="inlineStr">
        <is>
          <t>35 open positions in JUSTIFIED</t>
        </is>
      </c>
      <c r="G7" t="inlineStr">
        <is>
          <t>Multiple open reqs, ISSO/ISSM needs</t>
        </is>
      </c>
      <c r="H7" t="inlineStr">
        <is>
          <t>Schedule intro call</t>
        </is>
      </c>
    </row>
    <row r="8">
      <c r="A8" t="inlineStr">
        <is>
          <t>GDIT JUSTIFIED</t>
        </is>
      </c>
      <c r="B8" t="inlineStr">
        <is>
          <t>Mark Trudel</t>
        </is>
      </c>
      <c r="C8" t="inlineStr">
        <is>
          <t>Hiring Manager</t>
        </is>
      </c>
      <c r="D8" t="inlineStr">
        <is>
          <t>Active</t>
        </is>
      </c>
      <c r="E8" t="inlineStr">
        <is>
          <t>$5K+</t>
        </is>
      </c>
      <c r="F8" t="inlineStr">
        <is>
          <t>Hanscom AFB staffing</t>
        </is>
      </c>
      <c r="G8" t="inlineStr">
        <is>
          <t>Multiple positions, responsive</t>
        </is>
      </c>
      <c r="H8" t="inlineStr">
        <is>
          <t>Schedule weekly sync</t>
        </is>
      </c>
    </row>
    <row r="9">
      <c r="A9" t="inlineStr">
        <is>
          <t>BAE Systems DCGS</t>
        </is>
      </c>
      <c r="B9" t="inlineStr">
        <is>
          <t>TBD - Research</t>
        </is>
      </c>
      <c r="C9" t="inlineStr">
        <is>
          <t>Program Manager</t>
        </is>
      </c>
      <c r="D9" t="inlineStr">
        <is>
          <t>Prospect</t>
        </is>
      </c>
      <c r="E9" t="inlineStr">
        <is>
          <t>$0</t>
        </is>
      </c>
      <c r="F9" t="inlineStr">
        <is>
          <t>AF DCGS Beale/Langley support</t>
        </is>
      </c>
      <c r="G9" t="inlineStr">
        <is>
          <t>Direct DCGS-AF opportunity</t>
        </is>
      </c>
      <c r="H9" t="inlineStr">
        <is>
          <t>Need LinkedIn research</t>
        </is>
      </c>
    </row>
    <row r="10">
      <c r="A10" t="inlineStr">
        <is>
          <t>GDIT INSCOM</t>
        </is>
      </c>
      <c r="B10" t="inlineStr">
        <is>
          <t>Rick Maldonado</t>
        </is>
      </c>
      <c r="C10" t="inlineStr">
        <is>
          <t>Hiring Manager</t>
        </is>
      </c>
      <c r="D10" t="inlineStr">
        <is>
          <t>Active</t>
        </is>
      </c>
      <c r="E10" t="inlineStr">
        <is>
          <t>$8K+</t>
        </is>
      </c>
      <c r="F10" t="inlineStr">
        <is>
          <t>56 open I2TS4 positions</t>
        </is>
      </c>
      <c r="G10" t="inlineStr">
        <is>
          <t>High volume program</t>
        </is>
      </c>
      <c r="H10" t="inlineStr">
        <is>
          <t>Schedule intro</t>
        </is>
      </c>
    </row>
    <row r="11">
      <c r="A11" t="inlineStr">
        <is>
          <t>GDIT INSCOM</t>
        </is>
      </c>
      <c r="B11" t="inlineStr">
        <is>
          <t>Wanda Camacho</t>
        </is>
      </c>
      <c r="C11" t="inlineStr">
        <is>
          <t>Program Contact</t>
        </is>
      </c>
      <c r="D11" t="inlineStr">
        <is>
          <t>Active</t>
        </is>
      </c>
      <c r="E11" t="inlineStr">
        <is>
          <t>$5K+</t>
        </is>
      </c>
      <c r="F11" t="inlineStr">
        <is>
          <t>Network/Systems Admin needs</t>
        </is>
      </c>
      <c r="G11" t="inlineStr">
        <is>
          <t>Multiple sites</t>
        </is>
      </c>
      <c r="H11" t="inlineStr">
        <is>
          <t>Bi-weekly touchpoint</t>
        </is>
      </c>
    </row>
    <row r="12">
      <c r="A12" t="inlineStr">
        <is>
          <t>SAIC AESD-W</t>
        </is>
      </c>
      <c r="B12" t="inlineStr">
        <is>
          <t>TBD - Account Open</t>
        </is>
      </c>
      <c r="C12" t="inlineStr">
        <is>
          <t>Information Systems</t>
        </is>
      </c>
      <c r="D12" t="inlineStr">
        <is>
          <t>Prospect</t>
        </is>
      </c>
      <c r="E12" t="inlineStr">
        <is>
          <t>$0 - HIGH POTENTIAL</t>
        </is>
      </c>
      <c r="F12" t="inlineStr">
        <is>
          <t>Person left - account available</t>
        </is>
      </c>
      <c r="G12" t="inlineStr">
        <is>
          <t>MAJOR OPPORTUNITY - No competition</t>
        </is>
      </c>
      <c r="H12" t="inlineStr">
        <is>
          <t>URGENT - Research contacts</t>
        </is>
      </c>
    </row>
    <row r="13">
      <c r="A13" t="inlineStr">
        <is>
          <t>Northrop Grumman</t>
        </is>
      </c>
      <c r="B13" t="inlineStr">
        <is>
          <t>TBD - Research</t>
        </is>
      </c>
      <c r="C13" t="inlineStr">
        <is>
          <t>Program Manager</t>
        </is>
      </c>
      <c r="D13" t="inlineStr">
        <is>
          <t>Prospect</t>
        </is>
      </c>
      <c r="E13" t="inlineStr">
        <is>
          <t>$0</t>
        </is>
      </c>
      <c r="F13" t="inlineStr">
        <is>
          <t>MDA/Space Force opportunities</t>
        </is>
      </c>
      <c r="G13" t="inlineStr">
        <is>
          <t>Multiple high-clearance positions</t>
        </is>
      </c>
      <c r="H13" t="inlineStr">
        <is>
          <t>LinkedIn prospecting</t>
        </is>
      </c>
    </row>
    <row r="14">
      <c r="A14" t="inlineStr">
        <is>
          <t>Raytheon</t>
        </is>
      </c>
      <c r="B14" t="inlineStr">
        <is>
          <t>TBD - Research</t>
        </is>
      </c>
      <c r="C14" t="inlineStr">
        <is>
          <t>Hiring Manager</t>
        </is>
      </c>
      <c r="D14" t="inlineStr">
        <is>
          <t>Prospect</t>
        </is>
      </c>
      <c r="E14" t="inlineStr">
        <is>
          <t>$0</t>
        </is>
      </c>
      <c r="F14" t="inlineStr">
        <is>
          <t>Space Force SBIRS/FORGE</t>
        </is>
      </c>
      <c r="G14" t="inlineStr">
        <is>
          <t>CO Springs concentration</t>
        </is>
      </c>
      <c r="H14" t="inlineStr">
        <is>
          <t>LinkedIn prospecting</t>
        </is>
      </c>
    </row>
    <row r="15">
      <c r="A15" t="inlineStr">
        <is>
          <t>GDIT BICES</t>
        </is>
      </c>
      <c r="B15" t="inlineStr">
        <is>
          <t>TBD - Research</t>
        </is>
      </c>
      <c r="C15" t="inlineStr">
        <is>
          <t>Program Contact</t>
        </is>
      </c>
      <c r="D15" t="inlineStr">
        <is>
          <t>Prospect</t>
        </is>
      </c>
      <c r="E15" t="inlineStr">
        <is>
          <t>$0</t>
        </is>
      </c>
      <c r="F15" t="inlineStr">
        <is>
          <t>38 open positions</t>
        </is>
      </c>
      <c r="G15" t="inlineStr">
        <is>
          <t>High volume opportunity</t>
        </is>
      </c>
      <c r="H15" t="inlineStr">
        <is>
          <t>Get intro from ISEE contacts</t>
        </is>
      </c>
    </row>
    <row r="16">
      <c r="A16" t="inlineStr">
        <is>
          <t>GDIT NCIS</t>
        </is>
      </c>
      <c r="B16" t="inlineStr">
        <is>
          <t>TBD - Research</t>
        </is>
      </c>
      <c r="C16" t="inlineStr">
        <is>
          <t>Program Contact</t>
        </is>
      </c>
      <c r="D16" t="inlineStr">
        <is>
          <t>Prospect</t>
        </is>
      </c>
      <c r="E16" t="inlineStr">
        <is>
          <t>$0</t>
        </is>
      </c>
      <c r="F16" t="inlineStr">
        <is>
          <t>32 open positions</t>
        </is>
      </c>
      <c r="G16" t="inlineStr">
        <is>
          <t>Underworked program</t>
        </is>
      </c>
      <c r="H16" t="inlineStr">
        <is>
          <t>Research and intro</t>
        </is>
      </c>
    </row>
    <row r="17">
      <c r="A17" t="inlineStr">
        <is>
          <t>Peraton AF Cyber</t>
        </is>
      </c>
      <c r="B17" t="inlineStr">
        <is>
          <t>TBD - Matt Reda referral</t>
        </is>
      </c>
      <c r="C17" t="inlineStr">
        <is>
          <t>Program Manager</t>
        </is>
      </c>
      <c r="D17" t="inlineStr">
        <is>
          <t>Referral Pending</t>
        </is>
      </c>
      <c r="E17" t="inlineStr">
        <is>
          <t>$0</t>
        </is>
      </c>
      <c r="F17" t="inlineStr">
        <is>
          <t>16th Air Force support</t>
        </is>
      </c>
      <c r="G17" t="inlineStr">
        <is>
          <t>Warm referral opportunity</t>
        </is>
      </c>
      <c r="H17" t="inlineStr">
        <is>
          <t>Ask Matt for intro</t>
        </is>
      </c>
    </row>
    <row r="18">
      <c r="A18" t="inlineStr">
        <is>
          <t>Booz Allen</t>
        </is>
      </c>
      <c r="B18" t="inlineStr">
        <is>
          <t>TBD - Research</t>
        </is>
      </c>
      <c r="C18" t="inlineStr">
        <is>
          <t>Hiring Manager</t>
        </is>
      </c>
      <c r="D18" t="inlineStr">
        <is>
          <t>Prospect</t>
        </is>
      </c>
      <c r="E18" t="inlineStr">
        <is>
          <t>$0</t>
        </is>
      </c>
      <c r="F18" t="inlineStr">
        <is>
          <t>IC/Intel community support</t>
        </is>
      </c>
      <c r="G18" t="inlineStr">
        <is>
          <t>Major IC presence</t>
        </is>
      </c>
      <c r="H18" t="inlineStr">
        <is>
          <t>LinkedIn prospecting</t>
        </is>
      </c>
    </row>
    <row r="19">
      <c r="A19" t="inlineStr">
        <is>
          <t>ManTech PMW/A 170</t>
        </is>
      </c>
      <c r="B19" t="inlineStr">
        <is>
          <t>TBD - Research</t>
        </is>
      </c>
      <c r="C19" t="inlineStr">
        <is>
          <t>Program Manager</t>
        </is>
      </c>
      <c r="D19" t="inlineStr">
        <is>
          <t>Prospect</t>
        </is>
      </c>
      <c r="E19" t="inlineStr">
        <is>
          <t>$0</t>
        </is>
      </c>
      <c r="F19" t="inlineStr">
        <is>
          <t>Navy programs</t>
        </is>
      </c>
      <c r="G19" t="inlineStr">
        <is>
          <t>Potential DCGS-Navy connection</t>
        </is>
      </c>
      <c r="H19" t="inlineStr">
        <is>
          <t>Research program structure</t>
        </is>
      </c>
    </row>
    <row r="20">
      <c r="A20" t="inlineStr">
        <is>
          <t>L3Harris AFSOC</t>
        </is>
      </c>
      <c r="B20" t="inlineStr">
        <is>
          <t>TBD - Research</t>
        </is>
      </c>
      <c r="C20" t="inlineStr">
        <is>
          <t>FSR Program Contact</t>
        </is>
      </c>
      <c r="D20" t="inlineStr">
        <is>
          <t>Prospect</t>
        </is>
      </c>
      <c r="E20" t="inlineStr">
        <is>
          <t>$0</t>
        </is>
      </c>
      <c r="F20" t="inlineStr">
        <is>
          <t>USSOCOM support</t>
        </is>
      </c>
      <c r="G20" t="inlineStr">
        <is>
          <t>Top Secret FSR positions</t>
        </is>
      </c>
      <c r="H20" t="inlineStr">
        <is>
          <t>LinkedIn prospecting</t>
        </is>
      </c>
    </row>
    <row r="21">
      <c r="A21" t="inlineStr">
        <is>
          <t>Amentum</t>
        </is>
      </c>
      <c r="B21" t="inlineStr">
        <is>
          <t>TBD - Research</t>
        </is>
      </c>
      <c r="C21" t="inlineStr">
        <is>
          <t>Hiring Manager</t>
        </is>
      </c>
      <c r="D21" t="inlineStr">
        <is>
          <t>Prospect</t>
        </is>
      </c>
      <c r="E21" t="inlineStr">
        <is>
          <t>$0</t>
        </is>
      </c>
      <c r="F21" t="inlineStr">
        <is>
          <t>New market entry</t>
        </is>
      </c>
      <c r="G21" t="inlineStr">
        <is>
          <t>Growing defense contractor</t>
        </is>
      </c>
      <c r="H21" t="inlineStr">
        <is>
          <t>Research opportunities</t>
        </is>
      </c>
    </row>
    <row r="22">
      <c r="A22" t="inlineStr">
        <is>
          <t>SAIC Desktop Support</t>
        </is>
      </c>
      <c r="B22" t="inlineStr">
        <is>
          <t>TBD - Research</t>
        </is>
      </c>
      <c r="C22" t="inlineStr">
        <is>
          <t>Tier 1/2 Manager</t>
        </is>
      </c>
      <c r="D22" t="inlineStr">
        <is>
          <t>Prospect</t>
        </is>
      </c>
      <c r="E22" t="inlineStr">
        <is>
          <t>$0</t>
        </is>
      </c>
      <c r="F22" t="inlineStr">
        <is>
          <t>Customer support staffing</t>
        </is>
      </c>
      <c r="G22" t="inlineStr">
        <is>
          <t>Volume opportunity</t>
        </is>
      </c>
      <c r="H22" t="inlineStr">
        <is>
          <t>Research SAIC DC programs</t>
        </is>
      </c>
    </row>
  </sheetData>
  <pageMargins left="0.7" right="0.7" top="0.75" bottom="0.75" header="0.3" footer="0.3"/>
  <pageSetup orientation="portrait"/>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1"/>
  <sheetViews>
    <sheetView workbookViewId="0">
      <selection activeCell="K38" sqref="K38"/>
    </sheetView>
  </sheetViews>
  <sheetFormatPr baseColWidth="8" defaultRowHeight="15"/>
  <cols>
    <col hidden="1" min="11" max="11"/>
  </cols>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2:D42"/>
  <sheetViews>
    <sheetView showGridLines="0" workbookViewId="0">
      <selection activeCell="D15" sqref="D15"/>
    </sheetView>
  </sheetViews>
  <sheetFormatPr baseColWidth="8" defaultColWidth="9.140625" defaultRowHeight="15"/>
  <cols>
    <col width="45.7109375" customWidth="1" min="1" max="4"/>
  </cols>
  <sheetData>
    <row r="2" ht="27" customHeight="1" thickBot="1">
      <c r="A2" s="3" t="inlineStr">
        <is>
          <t>Primary 1  (GDIT ISEE)</t>
        </is>
      </c>
    </row>
    <row r="3" ht="16.5" customHeight="1" thickBot="1">
      <c r="A3" s="201" t="inlineStr">
        <is>
          <t>Primary 1  (Program)</t>
        </is>
      </c>
      <c r="B3" s="202" t="n"/>
      <c r="C3" s="202" t="n"/>
      <c r="D3" s="203" t="n"/>
    </row>
    <row r="4">
      <c r="A4" s="25" t="inlineStr">
        <is>
          <t>Robyn Moses</t>
        </is>
      </c>
      <c r="B4" s="26" t="n">
        <v>3</v>
      </c>
      <c r="C4" s="26" t="n">
        <v>2</v>
      </c>
      <c r="D4" s="81" t="n">
        <v>1</v>
      </c>
    </row>
    <row r="5">
      <c r="A5" s="92" t="inlineStr">
        <is>
          <t>Jennifer Turnbull</t>
        </is>
      </c>
      <c r="B5" s="93" t="n">
        <v>0</v>
      </c>
      <c r="C5" s="93" t="n">
        <v>0</v>
      </c>
      <c r="D5" s="94" t="n">
        <v>0</v>
      </c>
    </row>
    <row r="6">
      <c r="A6" s="92" t="inlineStr">
        <is>
          <t>Eileen Esainko</t>
        </is>
      </c>
      <c r="B6" s="93" t="n">
        <v>1</v>
      </c>
      <c r="C6" s="93" t="n">
        <v>0</v>
      </c>
      <c r="D6" s="94" t="n">
        <v>0</v>
      </c>
    </row>
    <row r="7">
      <c r="A7" s="92" t="n"/>
      <c r="B7" s="93" t="n"/>
      <c r="C7" s="93" t="n"/>
      <c r="D7" s="94" t="n"/>
    </row>
    <row r="8">
      <c r="A8" s="92" t="n"/>
      <c r="B8" s="93" t="n"/>
      <c r="C8" s="93" t="n"/>
      <c r="D8" s="94" t="n"/>
    </row>
    <row r="9">
      <c r="A9" s="92" t="n"/>
      <c r="B9" s="93" t="n"/>
      <c r="C9" s="93" t="n"/>
      <c r="D9" s="94" t="n"/>
    </row>
    <row r="10" ht="15.75" customHeight="1" thickBot="1">
      <c r="A10" s="104" t="n"/>
      <c r="B10" s="105" t="n"/>
      <c r="C10" s="105" t="n"/>
      <c r="D10" s="106" t="n"/>
    </row>
    <row r="12" ht="15.75" customHeight="1" thickBot="1">
      <c r="A12" t="inlineStr">
        <is>
          <t>Primary 2  (GDIT JUSTIFIED)</t>
        </is>
      </c>
    </row>
    <row r="13" ht="16.5" customHeight="1" thickBot="1">
      <c r="A13" s="204" t="inlineStr">
        <is>
          <t>Primary 2  (Program)</t>
        </is>
      </c>
      <c r="B13" s="202" t="n"/>
      <c r="C13" s="202" t="n"/>
      <c r="D13" s="203" t="n"/>
    </row>
    <row r="14">
      <c r="A14" s="83" t="inlineStr">
        <is>
          <t>Jonathan Miner</t>
        </is>
      </c>
      <c r="B14" s="84" t="n">
        <v>5</v>
      </c>
      <c r="C14" s="84" t="n">
        <v>3</v>
      </c>
      <c r="D14" s="85" t="n">
        <v>1</v>
      </c>
    </row>
    <row r="15">
      <c r="A15" s="95" t="inlineStr">
        <is>
          <t>Mark Trudel</t>
        </is>
      </c>
      <c r="B15" s="96" t="n">
        <v>4</v>
      </c>
      <c r="C15" s="96" t="n">
        <v>2</v>
      </c>
      <c r="D15" s="97" t="n">
        <v>1</v>
      </c>
    </row>
    <row r="16">
      <c r="A16" s="95" t="inlineStr">
        <is>
          <t>David Risnear</t>
        </is>
      </c>
      <c r="B16" s="96" t="n">
        <v>2</v>
      </c>
      <c r="C16" s="96" t="n">
        <v>1</v>
      </c>
      <c r="D16" s="97" t="n">
        <v>0</v>
      </c>
    </row>
    <row r="17">
      <c r="A17" s="95" t="n"/>
      <c r="B17" s="96" t="n"/>
      <c r="C17" s="96" t="n"/>
      <c r="D17" s="97" t="n"/>
    </row>
    <row r="18">
      <c r="A18" s="95" t="n"/>
      <c r="B18" s="96" t="n"/>
      <c r="C18" s="96" t="n"/>
      <c r="D18" s="97" t="n"/>
    </row>
    <row r="19">
      <c r="A19" s="95" t="n"/>
      <c r="B19" s="96" t="n"/>
      <c r="C19" s="96" t="n"/>
      <c r="D19" s="97" t="n"/>
    </row>
    <row r="20" ht="15.75" customHeight="1" thickBot="1">
      <c r="A20" s="107" t="n"/>
      <c r="B20" s="108" t="n"/>
      <c r="C20" s="108" t="n"/>
      <c r="D20" s="109" t="n"/>
    </row>
    <row r="22" ht="15.75" customHeight="1" thickBot="1">
      <c r="A22" t="inlineStr">
        <is>
          <t>Primary 3  (GDIT INSCOM (I2TS4))</t>
        </is>
      </c>
    </row>
    <row r="23" ht="16.5" customHeight="1" thickBot="1">
      <c r="A23" s="205" t="inlineStr">
        <is>
          <t>Primary 3  (Program)</t>
        </is>
      </c>
      <c r="B23" s="202" t="n"/>
      <c r="C23" s="202" t="n"/>
      <c r="D23" s="203" t="n"/>
    </row>
    <row r="24">
      <c r="A24" s="86" t="inlineStr">
        <is>
          <t>Rick Maldonado</t>
        </is>
      </c>
      <c r="B24" s="87" t="n">
        <v>3</v>
      </c>
      <c r="C24" s="87" t="n">
        <v>1</v>
      </c>
      <c r="D24" s="88" t="n">
        <v>0</v>
      </c>
    </row>
    <row r="25">
      <c r="A25" s="98" t="inlineStr">
        <is>
          <t>Wanda Camacho</t>
        </is>
      </c>
      <c r="B25" s="99" t="n">
        <v>2</v>
      </c>
      <c r="C25" s="99" t="n">
        <v>1</v>
      </c>
      <c r="D25" s="100" t="n">
        <v>0</v>
      </c>
    </row>
    <row r="26">
      <c r="A26" s="98" t="inlineStr">
        <is>
          <t>Wilson Castro</t>
        </is>
      </c>
      <c r="B26" s="99" t="n">
        <v>1</v>
      </c>
      <c r="C26" s="99" t="n">
        <v>0</v>
      </c>
      <c r="D26" s="100" t="n">
        <v>0</v>
      </c>
    </row>
    <row r="27">
      <c r="A27" s="98" t="n"/>
      <c r="B27" s="99" t="n"/>
      <c r="C27" s="99" t="n"/>
      <c r="D27" s="100" t="n"/>
    </row>
    <row r="28">
      <c r="A28" s="98" t="n"/>
      <c r="B28" s="99" t="n"/>
      <c r="C28" s="99" t="n"/>
      <c r="D28" s="100" t="n"/>
    </row>
    <row r="29">
      <c r="A29" s="98" t="n"/>
      <c r="B29" s="99" t="n"/>
      <c r="C29" s="99" t="n"/>
      <c r="D29" s="100" t="n"/>
    </row>
    <row r="30" ht="15.75" customHeight="1" thickBot="1">
      <c r="A30" s="110" t="n"/>
      <c r="B30" s="111" t="n"/>
      <c r="C30" s="111" t="n"/>
      <c r="D30" s="112" t="n"/>
    </row>
    <row r="31">
      <c r="A31" s="82" t="n"/>
      <c r="B31" s="82" t="n"/>
      <c r="C31" s="82" t="n"/>
      <c r="D31" s="82" t="n"/>
    </row>
    <row r="32" ht="15.75" customHeight="1" thickBot="1">
      <c r="A32" s="82" t="n"/>
      <c r="B32" s="82" t="n"/>
      <c r="C32" s="82" t="n"/>
      <c r="D32" s="82" t="n"/>
    </row>
    <row r="33" ht="16.5" customHeight="1" thickBot="1">
      <c r="A33" s="206" t="inlineStr">
        <is>
          <t>Other</t>
        </is>
      </c>
      <c r="B33" s="202" t="n"/>
      <c r="C33" s="202" t="n"/>
      <c r="D33" s="203" t="n"/>
    </row>
    <row r="34">
      <c r="A34" s="89" t="inlineStr">
        <is>
          <t>Customer (Manager)</t>
        </is>
      </c>
      <c r="B34" s="90" t="inlineStr">
        <is>
          <t># Submittals</t>
        </is>
      </c>
      <c r="C34" s="90" t="inlineStr">
        <is>
          <t>Interviews</t>
        </is>
      </c>
      <c r="D34" s="91" t="inlineStr">
        <is>
          <t>Offer Accepts</t>
        </is>
      </c>
    </row>
    <row r="35">
      <c r="A35" s="101" t="n"/>
      <c r="B35" s="102" t="n"/>
      <c r="C35" s="102" t="n"/>
      <c r="D35" s="103" t="n"/>
    </row>
    <row r="36">
      <c r="A36" s="101" t="n"/>
      <c r="B36" s="102" t="n"/>
      <c r="C36" s="102" t="n"/>
      <c r="D36" s="103" t="n"/>
    </row>
    <row r="37">
      <c r="A37" s="101" t="n"/>
      <c r="B37" s="102" t="n"/>
      <c r="C37" s="102" t="n"/>
      <c r="D37" s="103" t="n"/>
    </row>
    <row r="38">
      <c r="A38" s="101" t="n"/>
      <c r="B38" s="102" t="n"/>
      <c r="C38" s="102" t="n"/>
      <c r="D38" s="103" t="n"/>
    </row>
    <row r="39">
      <c r="A39" s="101" t="n"/>
      <c r="B39" s="102" t="n"/>
      <c r="C39" s="102" t="n"/>
      <c r="D39" s="103" t="n"/>
    </row>
    <row r="40" ht="15.75" customHeight="1" thickBot="1">
      <c r="A40" s="113" t="n"/>
      <c r="B40" s="114" t="n"/>
      <c r="C40" s="114" t="n"/>
      <c r="D40" s="115" t="n"/>
    </row>
    <row r="41">
      <c r="A41" s="82" t="n"/>
      <c r="B41" s="82" t="n"/>
      <c r="C41" s="82" t="n"/>
      <c r="D41" s="82" t="n"/>
    </row>
    <row r="42">
      <c r="A42" s="82" t="n"/>
      <c r="B42" s="82" t="n"/>
      <c r="C42" s="82" t="n"/>
      <c r="D42" s="82" t="n"/>
    </row>
  </sheetData>
  <sheetProtection selectLockedCells="0" selectUnlockedCells="0" algorithmName="SHA-512" sheet="1" objects="1" insertRows="1" insertHyperlinks="1" autoFilter="1" scenarios="1" formatColumns="1" deleteColumns="1" insertColumns="1" pivotTables="1" deleteRows="1" formatCells="1" saltValue="noL/QxwXowwIsmhnDgUdXg==" formatRows="1" sort="1" spinCount="100000" hashValue="JPqVMhbc1RGrjE9DJn4rI94ZsE2w4zjdYGDNtFRTNnr/BwZi/5h0nAVJO96mbIlfs/pQ9AfF9Orim7WAScW5BA=="/>
  <mergeCells count="4">
    <mergeCell ref="A3:D3"/>
    <mergeCell ref="A23:D23"/>
    <mergeCell ref="A13:D13"/>
    <mergeCell ref="A33:D33"/>
  </mergeCells>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2:E81"/>
  <sheetViews>
    <sheetView showGridLines="0" tabSelected="1" workbookViewId="0">
      <selection activeCell="D8" sqref="D8"/>
    </sheetView>
  </sheetViews>
  <sheetFormatPr baseColWidth="8" defaultRowHeight="15"/>
  <cols>
    <col width="2.7109375" customWidth="1" min="1" max="1"/>
    <col width="45.7109375" customWidth="1" min="2" max="5"/>
  </cols>
  <sheetData>
    <row r="2" ht="27" customHeight="1" thickBot="1">
      <c r="B2" s="3" t="inlineStr">
        <is>
          <t>Business Development</t>
        </is>
      </c>
    </row>
    <row r="3" ht="21" customHeight="1">
      <c r="A3" s="67" t="n"/>
      <c r="B3" s="68" t="inlineStr">
        <is>
          <t>Tier I</t>
        </is>
      </c>
      <c r="C3" s="69" t="n"/>
      <c r="D3" s="69" t="n"/>
      <c r="E3" s="70" t="n"/>
    </row>
    <row r="4" ht="15.75" customHeight="1">
      <c r="A4" s="71" t="n"/>
      <c r="B4" s="20" t="inlineStr">
        <is>
          <t>New Meetings Last Week</t>
        </is>
      </c>
      <c r="C4" s="19" t="n"/>
      <c r="D4" s="19" t="n"/>
      <c r="E4" s="72" t="n"/>
    </row>
    <row r="5">
      <c r="A5" s="71" t="n">
        <v>1</v>
      </c>
      <c r="B5" s="27" t="inlineStr">
        <is>
          <t>GDIT ISEE</t>
        </is>
      </c>
      <c r="C5" s="27" t="inlineStr">
        <is>
          <t>Robyn Moses</t>
        </is>
      </c>
      <c r="D5" s="27" t="inlineStr">
        <is>
          <t>Deputy PM</t>
        </is>
      </c>
      <c r="E5" s="73" t="inlineStr">
        <is>
          <t>Pending CIS RFP; Waiting on final extension funding #s. BUILD</t>
        </is>
      </c>
    </row>
    <row r="6">
      <c r="A6" s="74" t="n">
        <v>2</v>
      </c>
      <c r="B6" s="28" t="inlineStr">
        <is>
          <t>Peraton</t>
        </is>
      </c>
      <c r="C6" s="28" t="inlineStr">
        <is>
          <t>Matt Reda</t>
        </is>
      </c>
      <c r="D6" s="28" t="inlineStr">
        <is>
          <t>Task Order 7/3 Lead</t>
        </is>
      </c>
      <c r="E6" s="75" t="inlineStr">
        <is>
          <t>Can leverage his CIA contacts if we get an introduction. BUILD</t>
        </is>
      </c>
    </row>
    <row r="7">
      <c r="A7" s="74" t="n">
        <v>3</v>
      </c>
      <c r="B7" s="29" t="inlineStr">
        <is>
          <t>GDIT JUSTIFIED</t>
        </is>
      </c>
      <c r="C7" s="29" t="inlineStr">
        <is>
          <t>Jonathan Miner</t>
        </is>
      </c>
      <c r="D7" s="29" t="inlineStr">
        <is>
          <t>Pentagon Lead</t>
        </is>
      </c>
      <c r="E7" s="76" t="inlineStr">
        <is>
          <t>Multiple ISSO/ISSM openings. High urgency. BUILD</t>
        </is>
      </c>
    </row>
    <row r="8">
      <c r="A8" s="74" t="n">
        <v>3</v>
      </c>
      <c r="B8" s="29" t="inlineStr">
        <is>
          <t>GDIT DCGS</t>
        </is>
      </c>
      <c r="C8" s="29" t="inlineStr">
        <is>
          <t>Craig Lindahl</t>
        </is>
      </c>
      <c r="D8" s="29" t="n"/>
      <c r="E8" s="76" t="n"/>
    </row>
    <row r="9">
      <c r="A9" s="74" t="n"/>
      <c r="B9" s="29" t="n"/>
      <c r="C9" s="29" t="n"/>
      <c r="D9" s="29" t="n"/>
      <c r="E9" s="76" t="n"/>
    </row>
    <row r="10">
      <c r="A10" s="74" t="n"/>
      <c r="B10" s="29" t="n"/>
      <c r="C10" s="29" t="n"/>
      <c r="D10" s="29" t="n"/>
      <c r="E10" s="76" t="n"/>
    </row>
    <row r="11">
      <c r="A11" s="74" t="n"/>
      <c r="B11" s="29" t="n"/>
      <c r="C11" s="29" t="n"/>
      <c r="D11" s="29" t="n"/>
      <c r="E11" s="76" t="n"/>
    </row>
    <row r="12">
      <c r="A12" s="74" t="n"/>
      <c r="B12" s="30" t="n"/>
      <c r="C12" s="30" t="n"/>
      <c r="D12" s="30" t="n"/>
      <c r="E12" s="77" t="n"/>
    </row>
    <row r="13" ht="15.75" customHeight="1">
      <c r="A13" s="71" t="n"/>
      <c r="B13" s="20" t="inlineStr">
        <is>
          <t>New Meetings this Week</t>
        </is>
      </c>
      <c r="C13" s="19" t="n"/>
      <c r="D13" s="19" t="n"/>
      <c r="E13" s="72" t="n"/>
    </row>
    <row r="14">
      <c r="A14" s="71" t="n"/>
      <c r="B14" s="27" t="inlineStr">
        <is>
          <t>GDIT ISEE</t>
        </is>
      </c>
      <c r="C14" s="27" t="inlineStr">
        <is>
          <t>Jennifer Turnbull</t>
        </is>
      </c>
      <c r="D14" s="27" t="inlineStr">
        <is>
          <t>Sr Manager Engineering</t>
        </is>
      </c>
      <c r="E14" s="73" t="inlineStr">
        <is>
          <t>TBD - Schedule follow up</t>
        </is>
      </c>
    </row>
    <row r="15">
      <c r="A15" s="74">
        <f t="array" ref="A15">IFERROR(_xlfn.SEQUENCE(MIN(COUNTA(B15:B21),7)),"")</f>
        <v/>
      </c>
      <c r="B15" s="28" t="inlineStr">
        <is>
          <t>GDIT ISEE</t>
        </is>
      </c>
      <c r="C15" s="28" t="inlineStr">
        <is>
          <t>Eileen Esainko</t>
        </is>
      </c>
      <c r="D15" s="28" t="inlineStr">
        <is>
          <t>Program Analyst</t>
        </is>
      </c>
      <c r="E15" s="75" t="inlineStr">
        <is>
          <t>TBD - Schedule follow up</t>
        </is>
      </c>
    </row>
    <row r="16">
      <c r="A16" s="74" t="n"/>
      <c r="B16" s="29" t="n"/>
      <c r="C16" s="29" t="n"/>
      <c r="D16" s="29" t="n"/>
      <c r="E16" s="76" t="n"/>
    </row>
    <row r="17">
      <c r="A17" s="74" t="n"/>
      <c r="B17" s="29" t="n"/>
      <c r="C17" s="29" t="n"/>
      <c r="D17" s="29" t="n"/>
      <c r="E17" s="76" t="n"/>
    </row>
    <row r="18">
      <c r="A18" s="74" t="n"/>
      <c r="B18" s="29" t="n"/>
      <c r="C18" s="29" t="n"/>
      <c r="D18" s="29" t="n"/>
      <c r="E18" s="76" t="n"/>
    </row>
    <row r="19">
      <c r="A19" s="74" t="n"/>
      <c r="B19" s="29" t="n"/>
      <c r="C19" s="29" t="n"/>
      <c r="D19" s="29" t="n"/>
      <c r="E19" s="76" t="n"/>
    </row>
    <row r="20">
      <c r="A20" s="74" t="n"/>
      <c r="B20" s="29" t="n"/>
      <c r="C20" s="29" t="n"/>
      <c r="D20" s="29" t="n"/>
      <c r="E20" s="76" t="n"/>
    </row>
    <row r="21" ht="15.75" customHeight="1" thickBot="1">
      <c r="A21" s="78" t="n"/>
      <c r="B21" s="79" t="n"/>
      <c r="C21" s="79" t="n"/>
      <c r="D21" s="79" t="n"/>
      <c r="E21" s="80" t="n"/>
    </row>
    <row r="22" ht="15.75" customHeight="1" thickBot="1"/>
    <row r="23" ht="21" customHeight="1">
      <c r="A23" s="53" t="n"/>
      <c r="B23" s="54" t="inlineStr">
        <is>
          <t>Tier II</t>
        </is>
      </c>
      <c r="C23" s="55" t="n"/>
      <c r="D23" s="55" t="n"/>
      <c r="E23" s="56" t="n"/>
    </row>
    <row r="24" ht="15.75" customHeight="1">
      <c r="A24" s="57" t="n"/>
      <c r="B24" s="21" t="inlineStr">
        <is>
          <t>New Meetings Last Week</t>
        </is>
      </c>
      <c r="C24" s="22" t="n"/>
      <c r="D24" s="22" t="n"/>
      <c r="E24" s="58" t="n"/>
    </row>
    <row r="25">
      <c r="A25" s="57" t="n"/>
      <c r="B25" s="31" t="inlineStr">
        <is>
          <t>GDIT INSCOM</t>
        </is>
      </c>
      <c r="C25" s="31" t="inlineStr">
        <is>
          <t>Rick Maldonado</t>
        </is>
      </c>
      <c r="D25" s="31" t="inlineStr">
        <is>
          <t>I2TS4 Manager</t>
        </is>
      </c>
      <c r="E25" s="59" t="inlineStr">
        <is>
          <t>High volume - Ft Meade/Lewis-McChord. BUILD</t>
        </is>
      </c>
    </row>
    <row r="26">
      <c r="A26" s="60">
        <f t="array" ref="A26">IFERROR(_xlfn.SEQUENCE(MIN(COUNTA(B26:B32),7)),"")</f>
        <v/>
      </c>
      <c r="B26" s="32" t="inlineStr">
        <is>
          <t>GDIT JUSTIFIED</t>
        </is>
      </c>
      <c r="C26" s="32" t="inlineStr">
        <is>
          <t>Mark Trudel</t>
        </is>
      </c>
      <c r="D26" s="32" t="inlineStr">
        <is>
          <t>Hanscom Lead</t>
        </is>
      </c>
      <c r="E26" s="61" t="inlineStr">
        <is>
          <t>Security clearance bottleneck issue. BUILD</t>
        </is>
      </c>
    </row>
    <row r="27">
      <c r="A27" s="60" t="n"/>
      <c r="B27" s="33" t="n"/>
      <c r="C27" s="33" t="n"/>
      <c r="D27" s="33" t="n"/>
      <c r="E27" s="62" t="n"/>
    </row>
    <row r="28">
      <c r="A28" s="60" t="n"/>
      <c r="B28" s="33" t="n"/>
      <c r="C28" s="33" t="n"/>
      <c r="D28" s="33" t="n"/>
      <c r="E28" s="62" t="n"/>
    </row>
    <row r="29">
      <c r="A29" s="60" t="n"/>
      <c r="B29" s="33" t="n"/>
      <c r="C29" s="33" t="n"/>
      <c r="D29" s="33" t="n"/>
      <c r="E29" s="62" t="n"/>
    </row>
    <row r="30">
      <c r="A30" s="60" t="n"/>
      <c r="B30" s="33" t="n"/>
      <c r="C30" s="33" t="n"/>
      <c r="D30" s="33" t="n"/>
      <c r="E30" s="62" t="n"/>
    </row>
    <row r="31">
      <c r="A31" s="60" t="n"/>
      <c r="B31" s="33" t="n"/>
      <c r="C31" s="33" t="n"/>
      <c r="D31" s="33" t="n"/>
      <c r="E31" s="62" t="n"/>
    </row>
    <row r="32">
      <c r="A32" s="60" t="n"/>
      <c r="B32" s="34" t="n"/>
      <c r="C32" s="34" t="n"/>
      <c r="D32" s="34" t="n"/>
      <c r="E32" s="63" t="n"/>
    </row>
    <row r="33" ht="15.75" customHeight="1">
      <c r="A33" s="57" t="n"/>
      <c r="B33" s="21" t="inlineStr">
        <is>
          <t>New Meetings this Week</t>
        </is>
      </c>
      <c r="C33" s="22" t="n"/>
      <c r="D33" s="22" t="n"/>
      <c r="E33" s="58" t="n"/>
    </row>
    <row r="34">
      <c r="A34" s="57" t="n"/>
      <c r="B34" s="31" t="inlineStr">
        <is>
          <t>GDIT BICES</t>
        </is>
      </c>
      <c r="C34" s="31" t="inlineStr">
        <is>
          <t>TBD</t>
        </is>
      </c>
      <c r="D34" s="31" t="inlineStr">
        <is>
          <t>Program Contact</t>
        </is>
      </c>
      <c r="E34" s="59" t="inlineStr">
        <is>
          <t>Research and schedule intro</t>
        </is>
      </c>
    </row>
    <row r="35">
      <c r="A35" s="60">
        <f t="array" ref="A35">IFERROR(_xlfn.SEQUENCE(MIN(COUNTA(B35:B41),7)),"")</f>
        <v/>
      </c>
      <c r="B35" s="32" t="inlineStr">
        <is>
          <t>GDIT NCIS</t>
        </is>
      </c>
      <c r="C35" s="32" t="inlineStr">
        <is>
          <t>TBD</t>
        </is>
      </c>
      <c r="D35" s="32" t="inlineStr">
        <is>
          <t>Program Contact</t>
        </is>
      </c>
      <c r="E35" s="61" t="inlineStr">
        <is>
          <t>Research and schedule intro</t>
        </is>
      </c>
    </row>
    <row r="36">
      <c r="A36" s="60" t="n"/>
      <c r="B36" s="33" t="n"/>
      <c r="C36" s="33" t="n"/>
      <c r="D36" s="33" t="n"/>
      <c r="E36" s="62" t="n"/>
    </row>
    <row r="37">
      <c r="A37" s="60" t="n"/>
      <c r="B37" s="33" t="n"/>
      <c r="C37" s="33" t="n"/>
      <c r="D37" s="33" t="n"/>
      <c r="E37" s="62" t="n"/>
    </row>
    <row r="38">
      <c r="A38" s="60" t="n"/>
      <c r="B38" s="33" t="n"/>
      <c r="C38" s="33" t="n"/>
      <c r="D38" s="33" t="n"/>
      <c r="E38" s="62" t="n"/>
    </row>
    <row r="39">
      <c r="A39" s="60" t="n"/>
      <c r="B39" s="33" t="n"/>
      <c r="C39" s="33" t="n"/>
      <c r="D39" s="33" t="n"/>
      <c r="E39" s="62" t="n"/>
    </row>
    <row r="40">
      <c r="A40" s="60" t="n"/>
      <c r="B40" s="33" t="n"/>
      <c r="C40" s="33" t="n"/>
      <c r="D40" s="33" t="n"/>
      <c r="E40" s="62" t="n"/>
    </row>
    <row r="41" ht="15.75" customHeight="1" thickBot="1">
      <c r="A41" s="64" t="n"/>
      <c r="B41" s="65" t="n"/>
      <c r="C41" s="65" t="n"/>
      <c r="D41" s="65" t="n"/>
      <c r="E41" s="66" t="n"/>
    </row>
    <row r="42" ht="15.75" customHeight="1" thickBot="1"/>
    <row r="43" ht="21" customHeight="1">
      <c r="A43" s="39" t="n"/>
      <c r="B43" s="40" t="inlineStr">
        <is>
          <t>Tier 2.5</t>
        </is>
      </c>
      <c r="C43" s="41" t="n"/>
      <c r="D43" s="41" t="n"/>
      <c r="E43" s="42" t="n"/>
    </row>
    <row r="44" ht="15.75" customHeight="1">
      <c r="A44" s="43" t="n"/>
      <c r="B44" s="23" t="inlineStr">
        <is>
          <t>New Meetings Last Week</t>
        </is>
      </c>
      <c r="C44" s="24" t="n"/>
      <c r="D44" s="24" t="n"/>
      <c r="E44" s="44" t="n"/>
    </row>
    <row r="45">
      <c r="A45" s="43" t="n"/>
      <c r="B45" s="35" t="inlineStr">
        <is>
          <t>Customer</t>
        </is>
      </c>
      <c r="C45" s="35" t="inlineStr">
        <is>
          <t>Manager Name</t>
        </is>
      </c>
      <c r="D45" s="35" t="inlineStr">
        <is>
          <t>Manager Title</t>
        </is>
      </c>
      <c r="E45" s="45" t="inlineStr">
        <is>
          <t>Takeaways</t>
        </is>
      </c>
    </row>
    <row r="46">
      <c r="A46" s="46">
        <f t="array" ref="A46:A47">IFERROR(_xlfn.SEQUENCE(MIN(COUNTA(B46:B52),7)),"")</f>
        <v/>
      </c>
      <c r="B46" s="36" t="inlineStr">
        <is>
          <t>Test</t>
        </is>
      </c>
      <c r="C46" s="36" t="n"/>
      <c r="D46" s="36" t="n"/>
      <c r="E46" s="47" t="n"/>
    </row>
    <row r="47">
      <c r="A47" s="46" t="n">
        <v>2</v>
      </c>
      <c r="B47" s="37" t="inlineStr">
        <is>
          <t>a</t>
        </is>
      </c>
      <c r="C47" s="37" t="n"/>
      <c r="D47" s="37" t="n"/>
      <c r="E47" s="48" t="n"/>
    </row>
    <row r="48">
      <c r="A48" s="46" t="n"/>
      <c r="B48" s="37" t="n"/>
      <c r="C48" s="37" t="n"/>
      <c r="D48" s="37" t="n"/>
      <c r="E48" s="48" t="n"/>
    </row>
    <row r="49">
      <c r="A49" s="46" t="n"/>
      <c r="B49" s="37" t="n"/>
      <c r="C49" s="37" t="n"/>
      <c r="D49" s="37" t="n"/>
      <c r="E49" s="48" t="n"/>
    </row>
    <row r="50">
      <c r="A50" s="46" t="n"/>
      <c r="B50" s="37" t="n"/>
      <c r="C50" s="37" t="n"/>
      <c r="D50" s="37" t="n"/>
      <c r="E50" s="48" t="n"/>
    </row>
    <row r="51">
      <c r="A51" s="46" t="n"/>
      <c r="B51" s="37" t="n"/>
      <c r="C51" s="37" t="n"/>
      <c r="D51" s="37" t="n"/>
      <c r="E51" s="48" t="n"/>
    </row>
    <row r="52">
      <c r="A52" s="46" t="n"/>
      <c r="B52" s="38" t="n"/>
      <c r="C52" s="38" t="n"/>
      <c r="D52" s="38" t="n"/>
      <c r="E52" s="49" t="n"/>
    </row>
    <row r="53" ht="15.75" customHeight="1">
      <c r="A53" s="43" t="n"/>
      <c r="B53" s="23" t="inlineStr">
        <is>
          <t>New Meetings this Week</t>
        </is>
      </c>
      <c r="C53" s="24" t="n"/>
      <c r="D53" s="24" t="n"/>
      <c r="E53" s="44" t="n"/>
    </row>
    <row r="54">
      <c r="A54" s="43" t="n"/>
      <c r="B54" s="35" t="inlineStr">
        <is>
          <t>BAE Systems DCGS</t>
        </is>
      </c>
      <c r="C54" s="35" t="inlineStr">
        <is>
          <t>TBD</t>
        </is>
      </c>
      <c r="D54" s="35" t="inlineStr">
        <is>
          <t>Program Manager</t>
        </is>
      </c>
      <c r="E54" s="45" t="inlineStr">
        <is>
          <t>LinkedIn research this week</t>
        </is>
      </c>
    </row>
    <row r="55">
      <c r="A55" s="46">
        <f t="array" ref="A55">IFERROR(_xlfn.SEQUENCE(MIN(COUNTA(B55:B61),7)),"")</f>
        <v/>
      </c>
      <c r="B55" s="36" t="inlineStr">
        <is>
          <t>Northrop MDA</t>
        </is>
      </c>
      <c r="C55" s="36" t="inlineStr">
        <is>
          <t>TBD</t>
        </is>
      </c>
      <c r="D55" s="36" t="inlineStr">
        <is>
          <t>Hiring Manager</t>
        </is>
      </c>
      <c r="E55" s="47" t="inlineStr">
        <is>
          <t>LinkedIn research this week</t>
        </is>
      </c>
    </row>
    <row r="56">
      <c r="A56" s="46" t="n"/>
      <c r="B56" s="37" t="n"/>
      <c r="C56" s="37" t="n"/>
      <c r="D56" s="37" t="n"/>
      <c r="E56" s="48" t="n"/>
    </row>
    <row r="57">
      <c r="A57" s="46" t="n"/>
      <c r="B57" s="37" t="n"/>
      <c r="C57" s="37" t="n"/>
      <c r="D57" s="37" t="n"/>
      <c r="E57" s="48" t="n"/>
    </row>
    <row r="58">
      <c r="A58" s="46" t="n"/>
      <c r="B58" s="37" t="n"/>
      <c r="C58" s="37" t="n"/>
      <c r="D58" s="37" t="n"/>
      <c r="E58" s="48" t="n"/>
    </row>
    <row r="59">
      <c r="A59" s="46" t="n"/>
      <c r="B59" s="37" t="n"/>
      <c r="C59" s="37" t="n"/>
      <c r="D59" s="37" t="n"/>
      <c r="E59" s="48" t="n"/>
    </row>
    <row r="60">
      <c r="A60" s="46" t="n"/>
      <c r="B60" s="37" t="n"/>
      <c r="C60" s="37" t="n"/>
      <c r="D60" s="37" t="n"/>
      <c r="E60" s="48" t="n"/>
    </row>
    <row r="61" ht="15.75" customHeight="1" thickBot="1">
      <c r="A61" s="50" t="n"/>
      <c r="B61" s="51" t="n"/>
      <c r="C61" s="51" t="n"/>
      <c r="D61" s="51" t="n"/>
      <c r="E61" s="52" t="n"/>
    </row>
    <row r="62" ht="15.75" customHeight="1" thickBot="1"/>
    <row r="63" ht="21" customHeight="1">
      <c r="A63" s="131" t="n"/>
      <c r="B63" s="132" t="inlineStr">
        <is>
          <t>Tier III</t>
        </is>
      </c>
      <c r="C63" s="133" t="n"/>
      <c r="D63" s="133" t="n"/>
      <c r="E63" s="134" t="n"/>
    </row>
    <row r="64" ht="15.75" customHeight="1">
      <c r="A64" s="135" t="n"/>
      <c r="B64" s="136" t="inlineStr">
        <is>
          <t>New Meetings Last Week</t>
        </is>
      </c>
      <c r="C64" s="137" t="n"/>
      <c r="D64" s="137" t="n"/>
      <c r="E64" s="138" t="n"/>
    </row>
    <row r="65">
      <c r="A65" s="135" t="n"/>
      <c r="B65" s="139" t="inlineStr">
        <is>
          <t>Customer</t>
        </is>
      </c>
      <c r="C65" s="139" t="inlineStr">
        <is>
          <t>Manager Name</t>
        </is>
      </c>
      <c r="D65" s="139" t="inlineStr">
        <is>
          <t>Manager Title</t>
        </is>
      </c>
      <c r="E65" s="140" t="inlineStr">
        <is>
          <t>Takeaways</t>
        </is>
      </c>
    </row>
    <row r="66">
      <c r="A66" s="141">
        <f t="array" ref="A66:A67">IFERROR(_xlfn.SEQUENCE(MIN(COUNTA(B66:B72),7)),"")</f>
        <v/>
      </c>
      <c r="B66" s="142" t="inlineStr">
        <is>
          <t>Test</t>
        </is>
      </c>
      <c r="C66" s="142" t="n"/>
      <c r="D66" s="142" t="n"/>
      <c r="E66" s="143" t="n"/>
    </row>
    <row r="67">
      <c r="A67" s="141" t="n">
        <v>2</v>
      </c>
      <c r="B67" s="144" t="inlineStr">
        <is>
          <t>a</t>
        </is>
      </c>
      <c r="C67" s="144" t="n"/>
      <c r="D67" s="144" t="n"/>
      <c r="E67" s="145" t="n"/>
    </row>
    <row r="68">
      <c r="A68" s="141" t="n"/>
      <c r="B68" s="144" t="n"/>
      <c r="C68" s="144" t="n"/>
      <c r="D68" s="144" t="n"/>
      <c r="E68" s="145" t="n"/>
    </row>
    <row r="69">
      <c r="A69" s="141" t="n"/>
      <c r="B69" s="144" t="n"/>
      <c r="C69" s="144" t="n"/>
      <c r="D69" s="144" t="n"/>
      <c r="E69" s="145" t="n"/>
    </row>
    <row r="70">
      <c r="A70" s="141" t="n"/>
      <c r="B70" s="144" t="n"/>
      <c r="C70" s="144" t="n"/>
      <c r="D70" s="144" t="n"/>
      <c r="E70" s="145" t="n"/>
    </row>
    <row r="71">
      <c r="A71" s="141" t="n"/>
      <c r="B71" s="144" t="n"/>
      <c r="C71" s="144" t="n"/>
      <c r="D71" s="144" t="n"/>
      <c r="E71" s="145" t="n"/>
    </row>
    <row r="72">
      <c r="A72" s="141" t="n"/>
      <c r="B72" s="146" t="n"/>
      <c r="C72" s="146" t="n"/>
      <c r="D72" s="146" t="n"/>
      <c r="E72" s="147" t="n"/>
    </row>
    <row r="73" ht="15.75" customHeight="1">
      <c r="A73" s="135" t="n"/>
      <c r="B73" s="136" t="inlineStr">
        <is>
          <t>SAIC AESD-W</t>
        </is>
      </c>
      <c r="C73" s="137" t="inlineStr">
        <is>
          <t>TBD</t>
        </is>
      </c>
      <c r="D73" s="137" t="inlineStr">
        <is>
          <t>Info Systems Lead</t>
        </is>
      </c>
      <c r="E73" s="138" t="inlineStr">
        <is>
          <t>URGENT - Account recently opened</t>
        </is>
      </c>
    </row>
    <row r="74">
      <c r="A74" s="135" t="n"/>
      <c r="B74" s="139" t="inlineStr">
        <is>
          <t>Raytheon Space</t>
        </is>
      </c>
      <c r="C74" s="139" t="inlineStr">
        <is>
          <t>TBD</t>
        </is>
      </c>
      <c r="D74" s="139" t="inlineStr">
        <is>
          <t>CO Springs PM</t>
        </is>
      </c>
      <c r="E74" s="140" t="inlineStr">
        <is>
          <t>LinkedIn prospecting</t>
        </is>
      </c>
    </row>
    <row r="75">
      <c r="A75" s="141">
        <f t="array" ref="A75">IFERROR(_xlfn.SEQUENCE(MIN(COUNTA(B75:B81),7)),"")</f>
        <v/>
      </c>
      <c r="B75" s="142" t="inlineStr">
        <is>
          <t>Amentum</t>
        </is>
      </c>
      <c r="C75" s="142" t="inlineStr">
        <is>
          <t>TBD</t>
        </is>
      </c>
      <c r="D75" s="142" t="inlineStr">
        <is>
          <t>Defense Programs</t>
        </is>
      </c>
      <c r="E75" s="143" t="inlineStr">
        <is>
          <t>LinkedIn prospecting</t>
        </is>
      </c>
    </row>
    <row r="76">
      <c r="A76" s="141" t="n"/>
      <c r="B76" s="144" t="inlineStr">
        <is>
          <t>Booz Allen IC</t>
        </is>
      </c>
      <c r="C76" s="144" t="inlineStr">
        <is>
          <t>TBD</t>
        </is>
      </c>
      <c r="D76" s="144" t="inlineStr">
        <is>
          <t>Intel Programs</t>
        </is>
      </c>
      <c r="E76" s="145" t="inlineStr">
        <is>
          <t>LinkedIn prospecting</t>
        </is>
      </c>
    </row>
    <row r="77">
      <c r="A77" s="141" t="n"/>
      <c r="B77" s="144" t="n"/>
      <c r="C77" s="144" t="n"/>
      <c r="D77" s="144" t="n"/>
      <c r="E77" s="145" t="n"/>
    </row>
    <row r="78">
      <c r="A78" s="141" t="n"/>
      <c r="B78" s="144" t="n"/>
      <c r="C78" s="144" t="n"/>
      <c r="D78" s="144" t="n"/>
      <c r="E78" s="145" t="n"/>
    </row>
    <row r="79">
      <c r="A79" s="141" t="n"/>
      <c r="B79" s="144" t="n"/>
      <c r="C79" s="144" t="n"/>
      <c r="D79" s="144" t="n"/>
      <c r="E79" s="145" t="n"/>
    </row>
    <row r="80">
      <c r="A80" s="141" t="n"/>
      <c r="B80" s="144" t="n"/>
      <c r="C80" s="144" t="n"/>
      <c r="D80" s="144" t="n"/>
      <c r="E80" s="145" t="n"/>
    </row>
    <row r="81" ht="15.75" customHeight="1" thickBot="1">
      <c r="A81" s="148" t="n"/>
      <c r="B81" s="149" t="n"/>
      <c r="C81" s="149" t="n"/>
      <c r="D81" s="149" t="n"/>
      <c r="E81" s="150" t="n"/>
    </row>
  </sheetData>
  <sheetProtection selectLockedCells="0" selectUnlockedCells="0" algorithmName="SHA-512" sheet="1" objects="1" insertRows="1" insertHyperlinks="1" autoFilter="1" scenarios="1" formatColumns="1" deleteColumns="1" insertColumns="1" pivotTables="1" deleteRows="1" formatCells="1" saltValue="OJD8HaUMJBSH4xrHtakqIA==" formatRows="1" sort="1" spinCount="100000" hashValue="RPYQE8ABqaW5BVryYJf/uib8vTuofKfsY+H/pYHGH8yq5w94pXLW2m1H5kAhhNxCta9MQ+8jl2i9m4t38VSm8w=="/>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Kurt Sobotka</dc:creator>
  <dcterms:created xmlns:dcterms="http://purl.org/dc/terms/" xmlns:xsi="http://www.w3.org/2001/XMLSchema-instance" xsi:type="dcterms:W3CDTF">2015-03-31T15:10:40Z</dcterms:created>
  <dcterms:modified xmlns:dcterms="http://purl.org/dc/terms/" xmlns:xsi="http://www.w3.org/2001/XMLSchema-instance" xsi:type="dcterms:W3CDTF">2026-01-19T20:45:06Z</dcterms:modified>
  <cp:lastModifiedBy>George Maranville</cp:lastModifiedBy>
  <cp:lastPrinted>2021-11-22T14:19:00Z</cp:lastPrinted>
</cp:coreProperties>
</file>